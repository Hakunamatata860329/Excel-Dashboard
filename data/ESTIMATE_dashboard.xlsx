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RCHIE" sheetId="3" state="visible" r:id="rId3"/>
    <sheet xmlns:r="http://schemas.openxmlformats.org/officeDocument/2006/relationships" name="CLONE" sheetId="4" state="visible" r:id="rId4"/>
    <sheet xmlns:r="http://schemas.openxmlformats.org/officeDocument/2006/relationships" name="FRANKNC" sheetId="5" state="visible" r:id="rId5"/>
    <sheet xmlns:r="http://schemas.openxmlformats.org/officeDocument/2006/relationships" name="JANET" sheetId="6" state="visible" r:id="rId6"/>
    <sheet xmlns:r="http://schemas.openxmlformats.org/officeDocument/2006/relationships" name="JEAN" sheetId="7" state="visible" r:id="rId7"/>
    <sheet xmlns:r="http://schemas.openxmlformats.org/officeDocument/2006/relationships" name="JENNY" sheetId="8" state="visible" r:id="rId8"/>
    <sheet xmlns:r="http://schemas.openxmlformats.org/officeDocument/2006/relationships" name="JOHNNY" sheetId="9" state="visible" r:id="rId9"/>
    <sheet xmlns:r="http://schemas.openxmlformats.org/officeDocument/2006/relationships" name="KAKA" sheetId="10" state="visible" r:id="rId10"/>
    <sheet xmlns:r="http://schemas.openxmlformats.org/officeDocument/2006/relationships" name="MILENA" sheetId="11" state="visible" r:id="rId11"/>
    <sheet xmlns:r="http://schemas.openxmlformats.org/officeDocument/2006/relationships" name="NANCY" sheetId="12" state="visible" r:id="rId12"/>
    <sheet xmlns:r="http://schemas.openxmlformats.org/officeDocument/2006/relationships" name="WILLIAM" sheetId="13" state="visible" r:id="rId13"/>
    <sheet xmlns:r="http://schemas.openxmlformats.org/officeDocument/2006/relationships" name="XAVIE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0F4C1F"/>
      <sz val="14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0F4C1F"/>
      </patternFill>
    </fill>
    <fill>
      <patternFill patternType="solid">
        <fgColor rgb="00116A1E"/>
      </patternFill>
    </fill>
    <fill>
      <patternFill patternType="solid">
        <fgColor rgb="00EAF4E6"/>
      </patternFill>
    </fill>
    <fill>
      <patternFill patternType="solid">
        <fgColor rgb="00FFFFFF"/>
      </patternFill>
    </fill>
    <fill>
      <patternFill patternType="solid">
        <fgColor rgb="00F2F8F0"/>
      </patternFill>
    </fill>
  </fills>
  <borders count="2">
    <border>
      <left/>
      <right/>
      <top/>
      <bottom/>
      <diagonal/>
    </border>
    <border>
      <left style="thin">
        <color rgb="00D0E2CB"/>
      </left>
      <right style="thin">
        <color rgb="00D0E2CB"/>
      </right>
      <top style="thin">
        <color rgb="00D0E2CB"/>
      </top>
      <bottom style="thin">
        <color rgb="00D0E2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'_ChartData'!$A$2:$A$13</f>
            </numRef>
          </cat>
          <val>
            <numRef>
              <f>'_ChartData'!$B$2:$B$13</f>
            </numRef>
          </val>
        </ser>
        <ser>
          <idx val="1"/>
          <order val="1"/>
          <tx>
            <strRef>
              <f>'_ChartData'!C1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'_ChartData'!$A$2:$A$13</f>
            </numRef>
          </cat>
          <val>
            <numRef>
              <f>'_ChartData'!$C$2:$C$13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'_ChartData'!F1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'_ChartData'!$E$2:$E$6</f>
            </numRef>
          </cat>
          <val>
            <numRef>
              <f>'_ChartData'!$F$2:$F$6</f>
            </numRef>
          </val>
        </ser>
        <ser>
          <idx val="1"/>
          <order val="1"/>
          <tx>
            <strRef>
              <f>'_ChartData'!G1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'_ChartData'!$E$2:$E$6</f>
            </numRef>
          </cat>
          <val>
            <numRef>
              <f>'_ChartData'!$G$2:$G$6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'_ChartData'!J20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'_ChartData'!$I$21:$I$23</f>
            </numRef>
          </cat>
          <val>
            <numRef>
              <f>'_ChartData'!$J$21:$J$23</f>
            </numRef>
          </val>
        </ser>
        <ser>
          <idx val="1"/>
          <order val="1"/>
          <tx>
            <strRef>
              <f>'_ChartData'!K20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'_ChartData'!$I$21:$I$23</f>
            </numRef>
          </cat>
          <val>
            <numRef>
              <f>'_ChartData'!$K$21:$K$23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'_ChartData'!J25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'_ChartData'!$I$26:$I$29</f>
            </numRef>
          </cat>
          <val>
            <numRef>
              <f>'_ChartData'!$J$26:$J$29</f>
            </numRef>
          </val>
        </ser>
        <ser>
          <idx val="1"/>
          <order val="1"/>
          <tx>
            <strRef>
              <f>'_ChartData'!K25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'_ChartData'!$I$26:$I$29</f>
            </numRef>
          </cat>
          <val>
            <numRef>
              <f>'_ChartData'!$K$26:$K$29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'_ChartData'!J31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'_ChartData'!$I$32</f>
            </numRef>
          </cat>
          <val>
            <numRef>
              <f>'_ChartData'!$J$32</f>
            </numRef>
          </val>
        </ser>
        <ser>
          <idx val="1"/>
          <order val="1"/>
          <tx>
            <strRef>
              <f>'_ChartData'!K31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'_ChartData'!$I$32</f>
            </numRef>
          </cat>
          <val>
            <numRef>
              <f>'_ChartData'!$K$32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'_ChartData'!J34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'_ChartData'!$I$35</f>
            </numRef>
          </cat>
          <val>
            <numRef>
              <f>'_ChartData'!$J$35</f>
            </numRef>
          </val>
        </ser>
        <ser>
          <idx val="1"/>
          <order val="1"/>
          <tx>
            <strRef>
              <f>'_ChartData'!K34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'_ChartData'!$I$35</f>
            </numRef>
          </cat>
          <val>
            <numRef>
              <f>'_ChartData'!$K$35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'_ChartData'!J37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'_ChartData'!$I$38:$I$39</f>
            </numRef>
          </cat>
          <val>
            <numRef>
              <f>'_ChartData'!$J$38:$J$39</f>
            </numRef>
          </val>
        </ser>
        <ser>
          <idx val="1"/>
          <order val="1"/>
          <tx>
            <strRef>
              <f>'_ChartData'!K37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'_ChartData'!$I$38:$I$39</f>
            </numRef>
          </cat>
          <val>
            <numRef>
              <f>'_ChartData'!$K$38:$K$39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'_ChartData'!J41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'_ChartData'!$I$42:$I$45</f>
            </numRef>
          </cat>
          <val>
            <numRef>
              <f>'_ChartData'!$J$42:$J$45</f>
            </numRef>
          </val>
        </ser>
        <ser>
          <idx val="1"/>
          <order val="1"/>
          <tx>
            <strRef>
              <f>'_ChartData'!K41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'_ChartData'!$I$42:$I$45</f>
            </numRef>
          </cat>
          <val>
            <numRef>
              <f>'_ChartData'!$K$42:$K$45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'_ChartData'!J47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'_ChartData'!$I$48</f>
            </numRef>
          </cat>
          <val>
            <numRef>
              <f>'_ChartData'!$J$48</f>
            </numRef>
          </val>
        </ser>
        <ser>
          <idx val="1"/>
          <order val="1"/>
          <tx>
            <strRef>
              <f>'_ChartData'!K47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'_ChartData'!$I$48</f>
            </numRef>
          </cat>
          <val>
            <numRef>
              <f>'_ChartData'!$K$48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'_ChartData'!J50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'_ChartData'!$I$51</f>
            </numRef>
          </cat>
          <val>
            <numRef>
              <f>'_ChartData'!$J$51</f>
            </numRef>
          </val>
        </ser>
        <ser>
          <idx val="1"/>
          <order val="1"/>
          <tx>
            <strRef>
              <f>'_ChartData'!K50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'_ChartData'!$I$51</f>
            </numRef>
          </cat>
          <val>
            <numRef>
              <f>'_ChartData'!$K$51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'_ChartData'!J53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'_ChartData'!$I$54:$I$57</f>
            </numRef>
          </cat>
          <val>
            <numRef>
              <f>'_ChartData'!$J$54:$J$57</f>
            </numRef>
          </val>
        </ser>
        <ser>
          <idx val="1"/>
          <order val="1"/>
          <tx>
            <strRef>
              <f>'_ChartData'!K53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'_ChartData'!$I$54:$I$57</f>
            </numRef>
          </cat>
          <val>
            <numRef>
              <f>'_ChartData'!$K$54:$K$57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'_ChartData'!J59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'_ChartData'!$I$60:$I$62</f>
            </numRef>
          </cat>
          <val>
            <numRef>
              <f>'_ChartData'!$J$60:$J$62</f>
            </numRef>
          </val>
        </ser>
        <ser>
          <idx val="1"/>
          <order val="1"/>
          <tx>
            <strRef>
              <f>'_ChartData'!K59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'_ChartData'!$I$60:$I$62</f>
            </numRef>
          </cat>
          <val>
            <numRef>
              <f>'_ChartData'!$K$60:$K$62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'_ChartData'!J64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'_ChartData'!$I$65:$I$67</f>
            </numRef>
          </cat>
          <val>
            <numRef>
              <f>'_ChartData'!$J$65:$J$67</f>
            </numRef>
          </val>
        </ser>
        <ser>
          <idx val="1"/>
          <order val="1"/>
          <tx>
            <strRef>
              <f>'_ChartData'!K64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'_ChartData'!$I$65:$I$67</f>
            </numRef>
          </cat>
          <val>
            <numRef>
              <f>'_ChartData'!$K$65:$K$67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 vs TimeSpend by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'_ChartData'!J69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'_ChartData'!$I$70:$I$71</f>
            </numRef>
          </cat>
          <val>
            <numRef>
              <f>'_ChartData'!$J$70:$J$71</f>
            </numRef>
          </val>
        </ser>
        <ser>
          <idx val="1"/>
          <order val="1"/>
          <tx>
            <strRef>
              <f>'_ChartData'!K69</f>
            </strRef>
          </tx>
          <spPr>
            <a:solidFill xmlns:a="http://schemas.openxmlformats.org/drawingml/2006/main">
              <a:srgbClr val="A6D260"/>
            </a:solidFill>
            <a:ln xmlns:a="http://schemas.openxmlformats.org/drawingml/2006/main">
              <a:solidFill>
                <a:srgbClr val="A6D260"/>
              </a:solidFill>
              <a:prstDash val="solid"/>
            </a:ln>
          </spPr>
          <cat>
            <numRef>
              <f>'_ChartData'!$I$70:$I$71</f>
            </numRef>
          </cat>
          <val>
            <numRef>
              <f>'_ChartData'!$K$70:$K$71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Planned For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86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27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ESTIMATE DASHBOARD  |  Owner Summary</t>
        </is>
      </c>
    </row>
    <row r="2" ht="22" customHeight="1"/>
    <row r="3" ht="22" customHeight="1"/>
    <row r="4" ht="22" customHeight="1">
      <c r="A4" s="2" t="inlineStr">
        <is>
          <t>Total Estimate</t>
        </is>
      </c>
      <c r="D4" s="2" t="inlineStr">
        <is>
          <t>Total TimeSpend</t>
        </is>
      </c>
      <c r="G4" s="2" t="inlineStr">
        <is>
          <t>Utilization Rate</t>
        </is>
      </c>
      <c r="J4" s="2" t="inlineStr">
        <is>
          <t>Total Tasks</t>
        </is>
      </c>
    </row>
    <row r="5" ht="22" customHeight="1">
      <c r="A5" s="3" t="inlineStr">
        <is>
          <t>1099.5h</t>
        </is>
      </c>
      <c r="D5" s="3" t="inlineStr">
        <is>
          <t>587.8h</t>
        </is>
      </c>
      <c r="G5" s="3" t="inlineStr">
        <is>
          <t>53.5%</t>
        </is>
      </c>
      <c r="J5" s="3" t="inlineStr">
        <is>
          <t>130</t>
        </is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1">
    <mergeCell ref="A1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Estimate(h)</t>
        </is>
      </c>
      <c r="C1" t="inlineStr">
        <is>
          <t>TimeSpend(h)</t>
        </is>
      </c>
      <c r="E1" t="inlineStr">
        <is>
          <t>Sprint</t>
        </is>
      </c>
      <c r="F1" t="inlineStr">
        <is>
          <t>Estimate(h)</t>
        </is>
      </c>
      <c r="G1" t="inlineStr">
        <is>
          <t>TimeSpend(h)</t>
        </is>
      </c>
    </row>
    <row r="2">
      <c r="A2" t="inlineStr">
        <is>
          <t>ARCHIE</t>
        </is>
      </c>
      <c r="B2" t="n">
        <v>146</v>
      </c>
      <c r="C2" t="n">
        <v>75.09999999999999</v>
      </c>
      <c r="E2" t="inlineStr">
        <is>
          <t>Plan</t>
        </is>
      </c>
      <c r="F2" t="n">
        <v>176</v>
      </c>
      <c r="G2" t="n">
        <v>75.8</v>
      </c>
    </row>
    <row r="3">
      <c r="A3" t="inlineStr">
        <is>
          <t>CLONE</t>
        </is>
      </c>
      <c r="B3" t="n">
        <v>108</v>
      </c>
      <c r="C3" t="n">
        <v>80</v>
      </c>
      <c r="E3" t="inlineStr">
        <is>
          <t>Sprint1</t>
        </is>
      </c>
      <c r="F3" t="n">
        <v>36</v>
      </c>
      <c r="G3" t="n">
        <v>9.5</v>
      </c>
    </row>
    <row r="4">
      <c r="A4" t="inlineStr">
        <is>
          <t>FRANKNC</t>
        </is>
      </c>
      <c r="B4" t="n">
        <v>4</v>
      </c>
      <c r="C4" t="n">
        <v>4</v>
      </c>
      <c r="E4" t="inlineStr">
        <is>
          <t>Sprint2</t>
        </is>
      </c>
      <c r="F4" t="n">
        <v>289</v>
      </c>
      <c r="G4" t="n">
        <v>217.6</v>
      </c>
    </row>
    <row r="5">
      <c r="A5" t="inlineStr">
        <is>
          <t>JANET</t>
        </is>
      </c>
      <c r="B5" t="n">
        <v>24</v>
      </c>
      <c r="C5" t="n">
        <v>10</v>
      </c>
      <c r="E5" t="inlineStr">
        <is>
          <t>Sprint3</t>
        </is>
      </c>
      <c r="F5" t="n">
        <v>291.5</v>
      </c>
      <c r="G5" t="n">
        <v>155.2</v>
      </c>
    </row>
    <row r="6">
      <c r="A6" t="inlineStr">
        <is>
          <t>JEAN</t>
        </is>
      </c>
      <c r="B6" t="n">
        <v>40</v>
      </c>
      <c r="C6" t="n">
        <v>18</v>
      </c>
      <c r="E6" t="inlineStr">
        <is>
          <t>DIADesigner</t>
        </is>
      </c>
      <c r="F6" t="n">
        <v>307</v>
      </c>
      <c r="G6" t="n">
        <v>129.7</v>
      </c>
    </row>
    <row r="7">
      <c r="A7" t="inlineStr">
        <is>
          <t>JENNY</t>
        </is>
      </c>
      <c r="B7" t="n">
        <v>110</v>
      </c>
      <c r="C7" t="n">
        <v>68</v>
      </c>
    </row>
    <row r="8">
      <c r="A8" t="inlineStr">
        <is>
          <t>JOHNNY</t>
        </is>
      </c>
      <c r="B8" t="n">
        <v>4</v>
      </c>
      <c r="C8" t="n">
        <v>4</v>
      </c>
    </row>
    <row r="9">
      <c r="A9" t="inlineStr">
        <is>
          <t>KAKA</t>
        </is>
      </c>
      <c r="B9" t="n">
        <v>56</v>
      </c>
      <c r="C9" t="n">
        <v>1.3</v>
      </c>
    </row>
    <row r="10">
      <c r="A10" t="inlineStr">
        <is>
          <t>MILENA</t>
        </is>
      </c>
      <c r="B10" t="n">
        <v>56</v>
      </c>
      <c r="C10" t="n">
        <v>25.5</v>
      </c>
    </row>
    <row r="11">
      <c r="A11" t="inlineStr">
        <is>
          <t>NANCY</t>
        </is>
      </c>
      <c r="B11" t="n">
        <v>275.5</v>
      </c>
      <c r="C11" t="n">
        <v>133.1</v>
      </c>
    </row>
    <row r="12">
      <c r="A12" t="inlineStr">
        <is>
          <t>WILLIAM</t>
        </is>
      </c>
      <c r="B12" t="n">
        <v>144</v>
      </c>
      <c r="C12" t="n">
        <v>120.5</v>
      </c>
    </row>
    <row r="13">
      <c r="A13" t="inlineStr">
        <is>
          <t>XAVIERA</t>
        </is>
      </c>
      <c r="B13" t="n">
        <v>132</v>
      </c>
      <c r="C13" t="n">
        <v>48.3</v>
      </c>
    </row>
    <row r="20">
      <c r="I20" t="inlineStr">
        <is>
          <t>Sprint</t>
        </is>
      </c>
      <c r="J20" t="inlineStr">
        <is>
          <t>Estimate(h)</t>
        </is>
      </c>
      <c r="K20" t="inlineStr">
        <is>
          <t>TimeSpend(h)</t>
        </is>
      </c>
    </row>
    <row r="21">
      <c r="I21" t="inlineStr">
        <is>
          <t>Sprint2</t>
        </is>
      </c>
      <c r="J21" t="n">
        <v>4</v>
      </c>
      <c r="K21" t="n">
        <v>3</v>
      </c>
    </row>
    <row r="22">
      <c r="I22" t="inlineStr">
        <is>
          <t>Sprint3</t>
        </is>
      </c>
      <c r="J22" t="n">
        <v>14</v>
      </c>
      <c r="K22" t="n">
        <v>11.2</v>
      </c>
    </row>
    <row r="23">
      <c r="I23" t="inlineStr">
        <is>
          <t>DIADesigner</t>
        </is>
      </c>
      <c r="J23" t="n">
        <v>128</v>
      </c>
      <c r="K23" t="n">
        <v>60.9</v>
      </c>
    </row>
    <row r="25">
      <c r="I25" t="inlineStr">
        <is>
          <t>Sprint</t>
        </is>
      </c>
      <c r="J25" t="inlineStr">
        <is>
          <t>Estimate(h)</t>
        </is>
      </c>
      <c r="K25" t="inlineStr">
        <is>
          <t>TimeSpend(h)</t>
        </is>
      </c>
    </row>
    <row r="26">
      <c r="I26" t="inlineStr">
        <is>
          <t>Plan</t>
        </is>
      </c>
      <c r="J26" t="n">
        <v>48</v>
      </c>
      <c r="K26" t="n">
        <v>40.5</v>
      </c>
    </row>
    <row r="27">
      <c r="I27" t="inlineStr">
        <is>
          <t>Sprint1</t>
        </is>
      </c>
      <c r="J27" t="n">
        <v>16</v>
      </c>
      <c r="K27" t="n">
        <v>4.5</v>
      </c>
    </row>
    <row r="28">
      <c r="I28" t="inlineStr">
        <is>
          <t>Sprint2</t>
        </is>
      </c>
      <c r="J28" t="n">
        <v>34</v>
      </c>
      <c r="K28" t="n">
        <v>28</v>
      </c>
    </row>
    <row r="29">
      <c r="I29" t="inlineStr">
        <is>
          <t>Sprint3</t>
        </is>
      </c>
      <c r="J29" t="n">
        <v>10</v>
      </c>
      <c r="K29" t="n">
        <v>7</v>
      </c>
    </row>
    <row r="31">
      <c r="I31" t="inlineStr">
        <is>
          <t>Sprint</t>
        </is>
      </c>
      <c r="J31" t="inlineStr">
        <is>
          <t>Estimate(h)</t>
        </is>
      </c>
      <c r="K31" t="inlineStr">
        <is>
          <t>TimeSpend(h)</t>
        </is>
      </c>
    </row>
    <row r="32">
      <c r="I32" t="inlineStr">
        <is>
          <t>DIADesigner</t>
        </is>
      </c>
      <c r="J32" t="n">
        <v>4</v>
      </c>
      <c r="K32" t="n">
        <v>4</v>
      </c>
    </row>
    <row r="34">
      <c r="I34" t="inlineStr">
        <is>
          <t>Sprint</t>
        </is>
      </c>
      <c r="J34" t="inlineStr">
        <is>
          <t>Estimate(h)</t>
        </is>
      </c>
      <c r="K34" t="inlineStr">
        <is>
          <t>TimeSpend(h)</t>
        </is>
      </c>
    </row>
    <row r="35">
      <c r="I35" t="inlineStr">
        <is>
          <t>Sprint3</t>
        </is>
      </c>
      <c r="J35" t="n">
        <v>24</v>
      </c>
      <c r="K35" t="n">
        <v>10</v>
      </c>
    </row>
    <row r="37">
      <c r="I37" t="inlineStr">
        <is>
          <t>Sprint</t>
        </is>
      </c>
      <c r="J37" t="inlineStr">
        <is>
          <t>Estimate(h)</t>
        </is>
      </c>
      <c r="K37" t="inlineStr">
        <is>
          <t>TimeSpend(h)</t>
        </is>
      </c>
    </row>
    <row r="38">
      <c r="I38" t="inlineStr">
        <is>
          <t>Sprint1</t>
        </is>
      </c>
      <c r="J38" t="n">
        <v>16</v>
      </c>
      <c r="K38" t="n">
        <v>2</v>
      </c>
    </row>
    <row r="39">
      <c r="I39" t="inlineStr">
        <is>
          <t>Sprint2</t>
        </is>
      </c>
      <c r="J39" t="n">
        <v>24</v>
      </c>
      <c r="K39" t="n">
        <v>16</v>
      </c>
    </row>
    <row r="41">
      <c r="I41" t="inlineStr">
        <is>
          <t>Sprint</t>
        </is>
      </c>
      <c r="J41" t="inlineStr">
        <is>
          <t>Estimate(h)</t>
        </is>
      </c>
      <c r="K41" t="inlineStr">
        <is>
          <t>TimeSpend(h)</t>
        </is>
      </c>
    </row>
    <row r="42">
      <c r="I42" t="inlineStr">
        <is>
          <t>Plan</t>
        </is>
      </c>
      <c r="J42" t="n">
        <v>40</v>
      </c>
      <c r="K42" t="n">
        <v>18</v>
      </c>
    </row>
    <row r="43">
      <c r="I43" t="inlineStr">
        <is>
          <t>Sprint1</t>
        </is>
      </c>
      <c r="J43" t="n">
        <v>2</v>
      </c>
      <c r="K43" t="n">
        <v>2</v>
      </c>
    </row>
    <row r="44">
      <c r="I44" t="inlineStr">
        <is>
          <t>Sprint2</t>
        </is>
      </c>
      <c r="J44" t="n">
        <v>40</v>
      </c>
      <c r="K44" t="n">
        <v>31</v>
      </c>
    </row>
    <row r="45">
      <c r="I45" t="inlineStr">
        <is>
          <t>Sprint3</t>
        </is>
      </c>
      <c r="J45" t="n">
        <v>28</v>
      </c>
      <c r="K45" t="n">
        <v>17</v>
      </c>
    </row>
    <row r="47">
      <c r="I47" t="inlineStr">
        <is>
          <t>Sprint</t>
        </is>
      </c>
      <c r="J47" t="inlineStr">
        <is>
          <t>Estimate(h)</t>
        </is>
      </c>
      <c r="K47" t="inlineStr">
        <is>
          <t>TimeSpend(h)</t>
        </is>
      </c>
    </row>
    <row r="48">
      <c r="I48" t="inlineStr">
        <is>
          <t>Sprint3</t>
        </is>
      </c>
      <c r="J48" t="n">
        <v>4</v>
      </c>
      <c r="K48" t="n">
        <v>4</v>
      </c>
    </row>
    <row r="50">
      <c r="I50" t="inlineStr">
        <is>
          <t>Sprint</t>
        </is>
      </c>
      <c r="J50" t="inlineStr">
        <is>
          <t>Estimate(h)</t>
        </is>
      </c>
      <c r="K50" t="inlineStr">
        <is>
          <t>TimeSpend(h)</t>
        </is>
      </c>
    </row>
    <row r="51">
      <c r="I51" t="inlineStr">
        <is>
          <t>Plan</t>
        </is>
      </c>
      <c r="J51" t="n">
        <v>56</v>
      </c>
      <c r="K51" t="n">
        <v>1.3</v>
      </c>
    </row>
    <row r="53">
      <c r="I53" t="inlineStr">
        <is>
          <t>Sprint</t>
        </is>
      </c>
      <c r="J53" t="inlineStr">
        <is>
          <t>Estimate(h)</t>
        </is>
      </c>
      <c r="K53" t="inlineStr">
        <is>
          <t>TimeSpend(h)</t>
        </is>
      </c>
    </row>
    <row r="54">
      <c r="I54" t="inlineStr">
        <is>
          <t>Sprint1</t>
        </is>
      </c>
      <c r="J54" t="n">
        <v>2</v>
      </c>
      <c r="K54" t="n">
        <v>1</v>
      </c>
    </row>
    <row r="55">
      <c r="I55" t="inlineStr">
        <is>
          <t>Sprint2</t>
        </is>
      </c>
      <c r="J55" t="n">
        <v>16</v>
      </c>
      <c r="K55" t="n">
        <v>13.5</v>
      </c>
    </row>
    <row r="56">
      <c r="I56" t="inlineStr">
        <is>
          <t>Sprint3</t>
        </is>
      </c>
      <c r="J56" t="n">
        <v>32</v>
      </c>
      <c r="K56" t="n">
        <v>5</v>
      </c>
    </row>
    <row r="57">
      <c r="I57" t="inlineStr">
        <is>
          <t>DIADesigner</t>
        </is>
      </c>
      <c r="J57" t="n">
        <v>6</v>
      </c>
      <c r="K57" t="n">
        <v>6</v>
      </c>
    </row>
    <row r="59">
      <c r="I59" t="inlineStr">
        <is>
          <t>Sprint</t>
        </is>
      </c>
      <c r="J59" t="inlineStr">
        <is>
          <t>Estimate(h)</t>
        </is>
      </c>
      <c r="K59" t="inlineStr">
        <is>
          <t>TimeSpend(h)</t>
        </is>
      </c>
    </row>
    <row r="60">
      <c r="I60" t="inlineStr">
        <is>
          <t>Sprint2</t>
        </is>
      </c>
      <c r="J60" t="n">
        <v>16</v>
      </c>
      <c r="K60" t="n">
        <v>15.8</v>
      </c>
    </row>
    <row r="61">
      <c r="I61" t="inlineStr">
        <is>
          <t>Sprint3</t>
        </is>
      </c>
      <c r="J61" t="n">
        <v>90.5</v>
      </c>
      <c r="K61" t="n">
        <v>58.5</v>
      </c>
    </row>
    <row r="62">
      <c r="I62" t="inlineStr">
        <is>
          <t>DIADesigner</t>
        </is>
      </c>
      <c r="J62" t="n">
        <v>169</v>
      </c>
      <c r="K62" t="n">
        <v>58.8</v>
      </c>
    </row>
    <row r="64">
      <c r="I64" t="inlineStr">
        <is>
          <t>Sprint</t>
        </is>
      </c>
      <c r="J64" t="inlineStr">
        <is>
          <t>Estimate(h)</t>
        </is>
      </c>
      <c r="K64" t="inlineStr">
        <is>
          <t>TimeSpend(h)</t>
        </is>
      </c>
    </row>
    <row r="65">
      <c r="I65" t="inlineStr">
        <is>
          <t>Plan</t>
        </is>
      </c>
      <c r="J65" t="n">
        <v>32</v>
      </c>
      <c r="K65" t="n">
        <v>16</v>
      </c>
    </row>
    <row r="66">
      <c r="I66" t="inlineStr">
        <is>
          <t>Sprint2</t>
        </is>
      </c>
      <c r="J66" t="n">
        <v>80</v>
      </c>
      <c r="K66" t="n">
        <v>84</v>
      </c>
    </row>
    <row r="67">
      <c r="I67" t="inlineStr">
        <is>
          <t>Sprint3</t>
        </is>
      </c>
      <c r="J67" t="n">
        <v>32</v>
      </c>
      <c r="K67" t="n">
        <v>20.5</v>
      </c>
    </row>
    <row r="69">
      <c r="I69" t="inlineStr">
        <is>
          <t>Sprint</t>
        </is>
      </c>
      <c r="J69" t="inlineStr">
        <is>
          <t>Estimate(h)</t>
        </is>
      </c>
      <c r="K69" t="inlineStr">
        <is>
          <t>TimeSpend(h)</t>
        </is>
      </c>
    </row>
    <row r="70">
      <c r="I70" t="inlineStr">
        <is>
          <t>Sprint2</t>
        </is>
      </c>
      <c r="J70" t="n">
        <v>75</v>
      </c>
      <c r="K70" t="n">
        <v>26.3</v>
      </c>
    </row>
    <row r="71">
      <c r="I71" t="inlineStr">
        <is>
          <t>Sprint3</t>
        </is>
      </c>
      <c r="J71" t="n">
        <v>57</v>
      </c>
      <c r="K7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ARCHIE.YANG 楊浩群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146.0h</t>
        </is>
      </c>
      <c r="C5" s="3" t="inlineStr">
        <is>
          <t>75.1h</t>
        </is>
      </c>
      <c r="D5" s="3" t="inlineStr">
        <is>
          <t>51.4%</t>
        </is>
      </c>
      <c r="E5" s="3" t="inlineStr">
        <is>
          <t>31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583575</v>
      </c>
      <c r="B8" s="7" t="inlineStr">
        <is>
          <t>[RD_DEV] 新增 DIO 調機 Icon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0.5</v>
      </c>
      <c r="G8" s="6" t="n">
        <v>0.1</v>
      </c>
      <c r="H8" s="6" t="n">
        <v>-0.4</v>
      </c>
    </row>
    <row r="9" ht="20" customHeight="1">
      <c r="A9" s="8" t="n">
        <v>583543</v>
      </c>
      <c r="B9" s="9" t="inlineStr">
        <is>
          <t>[RD_DEV] 開啟通訊設定視窗時更新專案樹呈現的裝置連線狀況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1</v>
      </c>
      <c r="G9" s="8" t="n">
        <v>0.4</v>
      </c>
      <c r="H9" s="8" t="n">
        <v>-0.6</v>
      </c>
    </row>
    <row r="10" ht="20" customHeight="1">
      <c r="A10" s="6" t="n">
        <v>583532</v>
      </c>
      <c r="B10" s="7" t="inlineStr">
        <is>
          <t>[RD_DEV] 新增不做資料處理的 ModbusProtocolBase，新增可自訂 IConnector 的 Ethernet 設定物件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4</v>
      </c>
      <c r="G10" s="6" t="n">
        <v>3.3</v>
      </c>
      <c r="H10" s="6" t="n">
        <v>-0.7</v>
      </c>
    </row>
    <row r="11" ht="20" customHeight="1">
      <c r="A11" s="8" t="n">
        <v>583509</v>
      </c>
      <c r="B11" s="9" t="inlineStr">
        <is>
          <t>[RD_DEV] ETH 通訊設定改用統一的 Element Name 儲存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2</v>
      </c>
      <c r="G11" s="8" t="n">
        <v>1.9</v>
      </c>
      <c r="H11" s="8" t="n">
        <v>-0.1</v>
      </c>
    </row>
    <row r="12" ht="20" customHeight="1">
      <c r="A12" s="6" t="n">
        <v>583499</v>
      </c>
      <c r="B12" s="7" t="inlineStr">
        <is>
          <t>[RD_DEV] 調整 ASD Run/Stop 狀態訊息為 Servo On/Off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1</v>
      </c>
      <c r="G12" s="6" t="n">
        <v>0.8</v>
      </c>
      <c r="H12" s="6" t="n">
        <v>-0.2</v>
      </c>
    </row>
    <row r="13" ht="20" customHeight="1">
      <c r="A13" s="8" t="n">
        <v>582453</v>
      </c>
      <c r="B13" s="9" t="inlineStr">
        <is>
          <t>[RD_DEV] 修正建立上下載項目的最上層過濾條件</t>
        </is>
      </c>
      <c r="C13" s="8" t="inlineStr">
        <is>
          <t>Rev1.14.0 DIADesigner</t>
        </is>
      </c>
      <c r="D13" s="8" t="inlineStr">
        <is>
          <t>Task</t>
        </is>
      </c>
      <c r="E13" s="8" t="inlineStr">
        <is>
          <t>Completed</t>
        </is>
      </c>
      <c r="F13" s="8" t="n">
        <v>1</v>
      </c>
      <c r="G13" s="8" t="n">
        <v>1.6</v>
      </c>
      <c r="H13" s="8" t="n">
        <v>0.6</v>
      </c>
    </row>
    <row r="14" ht="20" customHeight="1">
      <c r="A14" s="6" t="n">
        <v>582291</v>
      </c>
      <c r="B14" s="7" t="inlineStr">
        <is>
          <t>[RD_DEV] VFD Monitor Table 釋放時需先關閉頁籤再釋放底層物件</t>
        </is>
      </c>
      <c r="C14" s="6" t="inlineStr">
        <is>
          <t>Rev1.14.0 DIADesigner</t>
        </is>
      </c>
      <c r="D14" s="6" t="inlineStr">
        <is>
          <t>Task</t>
        </is>
      </c>
      <c r="E14" s="6" t="inlineStr">
        <is>
          <t>Completed</t>
        </is>
      </c>
      <c r="F14" s="6" t="n">
        <v>1</v>
      </c>
      <c r="G14" s="6" t="n">
        <v>0.8</v>
      </c>
      <c r="H14" s="6" t="n">
        <v>-0.2</v>
      </c>
    </row>
    <row r="15" ht="20" customHeight="1">
      <c r="A15" s="8" t="n">
        <v>582128</v>
      </c>
      <c r="B15" s="9" t="inlineStr">
        <is>
          <t>[RD_DEV] 支援ASD A3-EX功能_DDF Model 新增，Port-X &gt; Item-X 新增 ProtocolType HLLT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Completed</t>
        </is>
      </c>
      <c r="F15" s="8" t="n">
        <v>0.5</v>
      </c>
      <c r="G15" s="8" t="n">
        <v>0.2</v>
      </c>
      <c r="H15" s="8" t="n">
        <v>-0.3</v>
      </c>
    </row>
    <row r="16" ht="20" customHeight="1">
      <c r="A16" s="6" t="n">
        <v>581412</v>
      </c>
      <c r="B16" s="7" t="inlineStr">
        <is>
          <t>[RD_DEV] W3A 下載管理員內資料交換表與參數編輯器項目新增同步邏輯</t>
        </is>
      </c>
      <c r="C16" s="6" t="inlineStr">
        <is>
          <t>Rev1.14.0 DIADesigner</t>
        </is>
      </c>
      <c r="D16" s="6" t="inlineStr">
        <is>
          <t>Task</t>
        </is>
      </c>
      <c r="E16" s="6" t="inlineStr">
        <is>
          <t>Completed</t>
        </is>
      </c>
      <c r="F16" s="6" t="n">
        <v>2</v>
      </c>
      <c r="G16" s="6" t="n">
        <v>1.5</v>
      </c>
      <c r="H16" s="6" t="n">
        <v>-0.5</v>
      </c>
    </row>
    <row r="17" ht="20" customHeight="1">
      <c r="A17" s="8" t="n">
        <v>581118</v>
      </c>
      <c r="B17" s="9" t="inlineStr">
        <is>
          <t>[RD_DEV] W3A 上下載管理員使用模擬器時禁止勾選參數編輯器項目</t>
        </is>
      </c>
      <c r="C17" s="8" t="inlineStr">
        <is>
          <t>Rev1.14.0 DIADesigner</t>
        </is>
      </c>
      <c r="D17" s="8" t="inlineStr">
        <is>
          <t>Task</t>
        </is>
      </c>
      <c r="E17" s="8" t="inlineStr">
        <is>
          <t>Completed</t>
        </is>
      </c>
      <c r="F17" s="8" t="n">
        <v>1</v>
      </c>
      <c r="G17" s="8" t="n">
        <v>0.7</v>
      </c>
      <c r="H17" s="8" t="n">
        <v>-0.3</v>
      </c>
    </row>
    <row r="18" ht="20" customHeight="1">
      <c r="A18" s="6" t="n">
        <v>580409</v>
      </c>
      <c r="B18" s="7" t="inlineStr">
        <is>
          <t>[RD_DEV] VFD CSV, XLSX 參數匯出不把空白的 Unit 輸出成 '#'</t>
        </is>
      </c>
      <c r="C18" s="6" t="inlineStr">
        <is>
          <t>Designer Rev1.14.0 Sprint2</t>
        </is>
      </c>
      <c r="D18" s="6" t="inlineStr">
        <is>
          <t>Task</t>
        </is>
      </c>
      <c r="E18" s="6" t="inlineStr">
        <is>
          <t>Completed</t>
        </is>
      </c>
      <c r="F18" s="6" t="n">
        <v>2</v>
      </c>
      <c r="G18" s="6" t="n">
        <v>1.5</v>
      </c>
      <c r="H18" s="6" t="n">
        <v>-0.5</v>
      </c>
    </row>
    <row r="19" ht="20" customHeight="1">
      <c r="A19" s="8" t="n">
        <v>579941</v>
      </c>
      <c r="B19" s="9" t="inlineStr">
        <is>
          <t xml:space="preserve">[RD_DEV] 修正 DVP Scan 未還原整合 DIO 模組的問題
 </t>
        </is>
      </c>
      <c r="C19" s="8" t="inlineStr">
        <is>
          <t>Rev1.14.0 DIADesigner</t>
        </is>
      </c>
      <c r="D19" s="8" t="inlineStr">
        <is>
          <t>Task</t>
        </is>
      </c>
      <c r="E19" s="8" t="inlineStr">
        <is>
          <t>Completed</t>
        </is>
      </c>
      <c r="F19" s="8" t="n">
        <v>1</v>
      </c>
      <c r="G19" s="8" t="n">
        <v>1</v>
      </c>
      <c r="H19" s="8" t="n">
        <v>0</v>
      </c>
    </row>
    <row r="20" ht="20" customHeight="1">
      <c r="A20" s="6" t="n">
        <v>579812</v>
      </c>
      <c r="B20" s="7" t="inlineStr">
        <is>
          <t>[RD_DEV] DVP 改用 ProdSubseries 判斷還原整合 DIO 模組</t>
        </is>
      </c>
      <c r="C20" s="6" t="inlineStr">
        <is>
          <t>Designer Rev1.14.0 Sprint3</t>
        </is>
      </c>
      <c r="D20" s="6" t="inlineStr">
        <is>
          <t>Task</t>
        </is>
      </c>
      <c r="E20" s="6" t="inlineStr">
        <is>
          <t>Completed</t>
        </is>
      </c>
      <c r="F20" s="6" t="n">
        <v>1</v>
      </c>
      <c r="G20" s="6" t="n">
        <v>1</v>
      </c>
      <c r="H20" s="6" t="n">
        <v>0</v>
      </c>
    </row>
    <row r="21" ht="20" customHeight="1">
      <c r="A21" s="8" t="n">
        <v>579798</v>
      </c>
      <c r="B21" s="9" t="inlineStr">
        <is>
          <t>[RD_DEV] 修正 ASD 在上載管理員消失的問題</t>
        </is>
      </c>
      <c r="C21" s="8" t="inlineStr">
        <is>
          <t>Designer Rev1.14.0 Sprint2</t>
        </is>
      </c>
      <c r="D21" s="8" t="inlineStr">
        <is>
          <t>Task</t>
        </is>
      </c>
      <c r="E21" s="8" t="inlineStr">
        <is>
          <t>Completed</t>
        </is>
      </c>
      <c r="F21" s="8" t="n">
        <v>1</v>
      </c>
      <c r="G21" s="8" t="n">
        <v>1</v>
      </c>
      <c r="H21" s="8" t="n">
        <v>0</v>
      </c>
    </row>
    <row r="22" ht="20" customHeight="1">
      <c r="A22" s="6" t="n">
        <v>579586</v>
      </c>
      <c r="B22" s="7" t="inlineStr">
        <is>
          <t>[RD_DEV] W3A 連線時的驗證結果需保存</t>
        </is>
      </c>
      <c r="C22" s="6" t="inlineStr">
        <is>
          <t>Rev1.14.0 DIADesigner</t>
        </is>
      </c>
      <c r="D22" s="6" t="inlineStr">
        <is>
          <t>Task</t>
        </is>
      </c>
      <c r="E22" s="6" t="inlineStr">
        <is>
          <t>Completed</t>
        </is>
      </c>
      <c r="F22" s="6" t="n">
        <v>0.5</v>
      </c>
      <c r="G22" s="6" t="n">
        <v>0.5</v>
      </c>
      <c r="H22" s="6" t="n">
        <v>0</v>
      </c>
    </row>
    <row r="23" ht="20" customHeight="1">
      <c r="A23" s="8" t="n">
        <v>579528</v>
      </c>
      <c r="B23" s="9" t="inlineStr">
        <is>
          <t>[RD_DEV] 修正上載管理員內加入新裝置時沒有顯示節點</t>
        </is>
      </c>
      <c r="C23" s="8" t="inlineStr">
        <is>
          <t>Designer Rev1.14.0 Sprint2</t>
        </is>
      </c>
      <c r="D23" s="8" t="inlineStr">
        <is>
          <t>Task</t>
        </is>
      </c>
      <c r="E23" s="8" t="inlineStr">
        <is>
          <t>Completed</t>
        </is>
      </c>
      <c r="F23" s="8" t="n">
        <v>1</v>
      </c>
      <c r="G23" s="8" t="n">
        <v>0.5</v>
      </c>
      <c r="H23" s="8" t="n">
        <v>-0.5</v>
      </c>
    </row>
    <row r="24" ht="20" customHeight="1">
      <c r="A24" s="6" t="n">
        <v>579337</v>
      </c>
      <c r="B24" s="7" t="inlineStr">
        <is>
          <t>[RD_DEV] 新增 A3-EP 的 Device ID Code</t>
        </is>
      </c>
      <c r="C24" s="6" t="inlineStr">
        <is>
          <t>Designer Rev1.14.0 Sprint3</t>
        </is>
      </c>
      <c r="D24" s="6" t="inlineStr">
        <is>
          <t>Task</t>
        </is>
      </c>
      <c r="E24" s="6" t="inlineStr">
        <is>
          <t>Completed</t>
        </is>
      </c>
      <c r="F24" s="6" t="n">
        <v>1</v>
      </c>
      <c r="G24" s="6" t="n">
        <v>0.5</v>
      </c>
      <c r="H24" s="6" t="n">
        <v>-0.5</v>
      </c>
    </row>
    <row r="25" ht="20" customHeight="1">
      <c r="A25" s="8" t="n">
        <v>579293</v>
      </c>
      <c r="B25" s="9" t="inlineStr">
        <is>
          <t>[RD_DEV] 更新 SDK Style (DeltaIA.DIAStudio.Asd.*)</t>
        </is>
      </c>
      <c r="C25" s="8" t="inlineStr">
        <is>
          <t>Rev1.14.0 DIADesigner</t>
        </is>
      </c>
      <c r="D25" s="8" t="inlineStr">
        <is>
          <t>Task</t>
        </is>
      </c>
      <c r="E25" s="8" t="inlineStr">
        <is>
          <t>Completed</t>
        </is>
      </c>
      <c r="F25" s="8" t="n">
        <v>1</v>
      </c>
      <c r="G25" s="8" t="n">
        <v>1.5</v>
      </c>
      <c r="H25" s="8" t="n">
        <v>0.5</v>
      </c>
    </row>
    <row r="26" ht="20" customHeight="1">
      <c r="A26" s="6" t="n">
        <v>579026</v>
      </c>
      <c r="B26" s="7" t="inlineStr">
        <is>
          <t>[RD_DEV] 更新 SDK Style (DeltaIA.DIAStudio.Corner.Communication)</t>
        </is>
      </c>
      <c r="C26" s="6" t="inlineStr">
        <is>
          <t>Rev1.14.0 DIADesigner</t>
        </is>
      </c>
      <c r="D26" s="6" t="inlineStr">
        <is>
          <t>Task</t>
        </is>
      </c>
      <c r="E26" s="6" t="inlineStr">
        <is>
          <t>Completed</t>
        </is>
      </c>
      <c r="F26" s="6" t="n">
        <v>0.5</v>
      </c>
      <c r="G26" s="6" t="n">
        <v>0.8</v>
      </c>
      <c r="H26" s="6" t="n">
        <v>0.3</v>
      </c>
    </row>
    <row r="27" ht="20" customHeight="1">
      <c r="A27" s="8" t="n">
        <v>578719</v>
      </c>
      <c r="B27" s="9" t="inlineStr">
        <is>
          <t>[RD_DEV] 修正 TC 無法下載的問題 (Check 失敗)</t>
        </is>
      </c>
      <c r="C27" s="8" t="inlineStr">
        <is>
          <t>Rev1.14.0 DIADesigner</t>
        </is>
      </c>
      <c r="D27" s="8" t="inlineStr">
        <is>
          <t>Task</t>
        </is>
      </c>
      <c r="E27" s="8" t="inlineStr">
        <is>
          <t>Completed</t>
        </is>
      </c>
      <c r="F27" s="8" t="n">
        <v>1</v>
      </c>
      <c r="G27" s="8" t="n">
        <v>1</v>
      </c>
      <c r="H27" s="8" t="n">
        <v>0</v>
      </c>
    </row>
    <row r="28" ht="20" customHeight="1">
      <c r="A28" s="6" t="n">
        <v>578693</v>
      </c>
      <c r="B28" s="7" t="inlineStr">
        <is>
          <t>[RD_DEV] 改善上下載管理員效能 (ASD、VFD 有大量參數節點時)</t>
        </is>
      </c>
      <c r="C28" s="6" t="inlineStr">
        <is>
          <t>Rev1.14.0 DIADesigner</t>
        </is>
      </c>
      <c r="D28" s="6" t="inlineStr">
        <is>
          <t>Task</t>
        </is>
      </c>
      <c r="E28" s="6" t="inlineStr">
        <is>
          <t>Completed</t>
        </is>
      </c>
      <c r="F28" s="6" t="n">
        <v>3</v>
      </c>
      <c r="G28" s="6" t="n">
        <v>5</v>
      </c>
      <c r="H28" s="6" t="n">
        <v>2</v>
      </c>
    </row>
    <row r="29" ht="20" customHeight="1">
      <c r="A29" s="8" t="n">
        <v>577354</v>
      </c>
      <c r="B29" s="9" t="inlineStr">
        <is>
          <t>[RD_DEV] 修正 SetupDiGetClassDevs 回傳值的判斷方式</t>
        </is>
      </c>
      <c r="C29" s="8" t="inlineStr">
        <is>
          <t>Rev1.14.0 DIADesigner</t>
        </is>
      </c>
      <c r="D29" s="8" t="inlineStr">
        <is>
          <t>Task</t>
        </is>
      </c>
      <c r="E29" s="8" t="inlineStr">
        <is>
          <t>Completed</t>
        </is>
      </c>
      <c r="F29" s="8" t="n">
        <v>1</v>
      </c>
      <c r="G29" s="8" t="n">
        <v>0.5</v>
      </c>
      <c r="H29" s="8" t="n">
        <v>-0.5</v>
      </c>
    </row>
    <row r="30" ht="20" customHeight="1">
      <c r="A30" s="6" t="n">
        <v>577139</v>
      </c>
      <c r="B30" s="7" t="inlineStr">
        <is>
          <t>[RD_DEV] 支援無配置時以預設行為初始化 CommgrHelper</t>
        </is>
      </c>
      <c r="C30" s="6" t="inlineStr">
        <is>
          <t>Rev1.14.0 DIADesigner</t>
        </is>
      </c>
      <c r="D30" s="6" t="inlineStr">
        <is>
          <t>Task</t>
        </is>
      </c>
      <c r="E30" s="6" t="inlineStr">
        <is>
          <t>Completed</t>
        </is>
      </c>
      <c r="F30" s="6" t="n">
        <v>1</v>
      </c>
      <c r="G30" s="6" t="n">
        <v>0.7</v>
      </c>
      <c r="H30" s="6" t="n">
        <v>-0.3</v>
      </c>
    </row>
    <row r="31" ht="20" customHeight="1">
      <c r="A31" s="8" t="n">
        <v>577137</v>
      </c>
      <c r="B31" s="9" t="inlineStr">
        <is>
          <t>[RD_DEV] 修正判斷 ASDASoft Process 的邏輯，避免問錯對象，反覆發生例外</t>
        </is>
      </c>
      <c r="C31" s="8" t="inlineStr">
        <is>
          <t>Rev1.14.0 DIADesigner</t>
        </is>
      </c>
      <c r="D31" s="8" t="inlineStr">
        <is>
          <t>Task</t>
        </is>
      </c>
      <c r="E31" s="8" t="inlineStr">
        <is>
          <t>Completed</t>
        </is>
      </c>
      <c r="F31" s="8" t="n">
        <v>1</v>
      </c>
      <c r="G31" s="8" t="n">
        <v>0.7</v>
      </c>
      <c r="H31" s="8" t="n">
        <v>-0.3</v>
      </c>
    </row>
    <row r="32" ht="20" customHeight="1">
      <c r="A32" s="6" t="n">
        <v>577088</v>
      </c>
      <c r="B32" s="7" t="inlineStr">
        <is>
          <t xml:space="preserve">[RD_DEV] W3A 增加 Servo 參數編輯器與上下載項目
 </t>
        </is>
      </c>
      <c r="C32" s="6" t="inlineStr">
        <is>
          <t>Rev1.14.0 DIADesigner</t>
        </is>
      </c>
      <c r="D32" s="6" t="inlineStr">
        <is>
          <t>Task</t>
        </is>
      </c>
      <c r="E32" s="6" t="inlineStr">
        <is>
          <t>Completed</t>
        </is>
      </c>
      <c r="F32" s="6" t="n">
        <v>6</v>
      </c>
      <c r="G32" s="6" t="n">
        <v>8</v>
      </c>
      <c r="H32" s="6" t="n">
        <v>2</v>
      </c>
    </row>
    <row r="33" ht="20" customHeight="1">
      <c r="A33" s="8" t="n">
        <v>576366</v>
      </c>
      <c r="B33" s="9" t="inlineStr">
        <is>
          <t>[RD_DEV] 刪除 ASD 裝置時應正確釋放參數編輯器</t>
        </is>
      </c>
      <c r="C33" s="8" t="inlineStr">
        <is>
          <t>Rev1.14.0 DIADesigner</t>
        </is>
      </c>
      <c r="D33" s="8" t="inlineStr">
        <is>
          <t>Task</t>
        </is>
      </c>
      <c r="E33" s="8" t="inlineStr">
        <is>
          <t>Completed</t>
        </is>
      </c>
      <c r="F33" s="8" t="n">
        <v>2</v>
      </c>
      <c r="G33" s="8" t="n">
        <v>2</v>
      </c>
      <c r="H33" s="8" t="n">
        <v>0</v>
      </c>
    </row>
    <row r="34" ht="20" customHeight="1">
      <c r="A34" s="6" t="n">
        <v>576006</v>
      </c>
      <c r="B34" s="7" t="inlineStr">
        <is>
          <t>[RD_DEV] 調整 MODBUS 接收資料的預設 Delay 為 0</t>
        </is>
      </c>
      <c r="C34" s="6" t="inlineStr">
        <is>
          <t>Rev1.14.0 DIADesigner</t>
        </is>
      </c>
      <c r="D34" s="6" t="inlineStr">
        <is>
          <t>Task</t>
        </is>
      </c>
      <c r="E34" s="6" t="inlineStr">
        <is>
          <t>Completed</t>
        </is>
      </c>
      <c r="F34" s="6" t="n">
        <v>1</v>
      </c>
      <c r="G34" s="6" t="n">
        <v>1.5</v>
      </c>
      <c r="H34" s="6" t="n">
        <v>0.5</v>
      </c>
    </row>
    <row r="35" ht="20" customHeight="1">
      <c r="A35" s="8" t="n">
        <v>569952</v>
      </c>
      <c r="B35" s="9" t="inlineStr">
        <is>
          <t>[RD_DEV] DVP16SV3 HW存讀檔需容舊型號</t>
        </is>
      </c>
      <c r="C35" s="8" t="inlineStr">
        <is>
          <t>Designer Rev1.14.0 Sprint3</t>
        </is>
      </c>
      <c r="D35" s="8" t="inlineStr">
        <is>
          <t>Task</t>
        </is>
      </c>
      <c r="E35" s="8" t="inlineStr">
        <is>
          <t>Completed</t>
        </is>
      </c>
      <c r="F35" s="8" t="n">
        <v>3</v>
      </c>
      <c r="G35" s="8" t="n">
        <v>3</v>
      </c>
      <c r="H35" s="8" t="n">
        <v>0</v>
      </c>
    </row>
    <row r="36" ht="20" customHeight="1">
      <c r="A36" s="6" t="n">
        <v>527017</v>
      </c>
      <c r="B36" s="7" t="inlineStr">
        <is>
          <t>[RD_DEV][W3A]通訊參數設定-下載通訊相關參數</t>
        </is>
      </c>
      <c r="C36" s="6" t="inlineStr">
        <is>
          <t>Rev1.14.0 DIADesigner</t>
        </is>
      </c>
      <c r="D36" s="6" t="inlineStr">
        <is>
          <t>Task</t>
        </is>
      </c>
      <c r="E36" s="6" t="inlineStr">
        <is>
          <t>Completed</t>
        </is>
      </c>
      <c r="F36" s="6" t="n">
        <v>40</v>
      </c>
      <c r="G36" s="6" t="n">
        <v>19</v>
      </c>
      <c r="H36" s="6" t="n">
        <v>-21</v>
      </c>
    </row>
    <row r="37" ht="20" customHeight="1">
      <c r="A37" s="8" t="n">
        <v>527016</v>
      </c>
      <c r="B37" s="9" t="inlineStr">
        <is>
          <t>[RD_DEV][W3A]通訊參數設定-上載通訊相關參數</t>
        </is>
      </c>
      <c r="C37" s="8" t="inlineStr">
        <is>
          <t>Rev1.14.0 DIADesigner</t>
        </is>
      </c>
      <c r="D37" s="8" t="inlineStr">
        <is>
          <t>Task</t>
        </is>
      </c>
      <c r="E37" s="8" t="inlineStr">
        <is>
          <t>Completed</t>
        </is>
      </c>
      <c r="F37" s="8" t="n">
        <v>40</v>
      </c>
      <c r="G37" s="8" t="n">
        <v>12.1</v>
      </c>
      <c r="H37" s="8" t="n">
        <v>-27.9</v>
      </c>
    </row>
    <row r="38" ht="20" customHeight="1">
      <c r="A38" s="6" t="n">
        <v>484525</v>
      </c>
      <c r="B38" s="7" t="inlineStr">
        <is>
          <t>[RD_DEV] ADC客製案_Architecture Design_採用注入方式</t>
        </is>
      </c>
      <c r="C38" s="6" t="inlineStr">
        <is>
          <t>Rev1.14.0 DIADesigner</t>
        </is>
      </c>
      <c r="D38" s="6" t="inlineStr">
        <is>
          <t>Task</t>
        </is>
      </c>
      <c r="E38" s="6" t="inlineStr">
        <is>
          <t>In Progress</t>
        </is>
      </c>
      <c r="F38" s="6" t="n">
        <v>24</v>
      </c>
      <c r="G38" s="6" t="n">
        <v>2</v>
      </c>
      <c r="H38" s="6" t="n">
        <v>-22</v>
      </c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3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CLONE.LIN 林俊淵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108.0h</t>
        </is>
      </c>
      <c r="C5" s="3" t="inlineStr">
        <is>
          <t>80.0h</t>
        </is>
      </c>
      <c r="D5" s="3" t="inlineStr">
        <is>
          <t>74.1%</t>
        </is>
      </c>
      <c r="E5" s="3" t="inlineStr">
        <is>
          <t>13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583940</v>
      </c>
      <c r="B8" s="7" t="inlineStr">
        <is>
          <t>[RD_DEV] 網路視圖在特定操作下刪除總線網路會發生線段殘留現象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1</v>
      </c>
      <c r="G8" s="6" t="n">
        <v>1</v>
      </c>
      <c r="H8" s="6" t="n">
        <v>0</v>
      </c>
    </row>
    <row r="9" ht="20" customHeight="1">
      <c r="A9" s="8" t="n">
        <v>577484</v>
      </c>
      <c r="B9" s="9" t="inlineStr">
        <is>
          <t>[RD_DEV] APF3000_網路視圖 (離線功能)</t>
        </is>
      </c>
      <c r="C9" s="8" t="inlineStr">
        <is>
          <t>Designer Rev1.14.0 Sprint2</t>
        </is>
      </c>
      <c r="D9" s="8" t="inlineStr">
        <is>
          <t>Task</t>
        </is>
      </c>
      <c r="E9" s="8" t="inlineStr">
        <is>
          <t>Completed</t>
        </is>
      </c>
      <c r="F9" s="8" t="n">
        <v>2</v>
      </c>
      <c r="G9" s="8" t="n">
        <v>2.5</v>
      </c>
      <c r="H9" s="8" t="n">
        <v>0.5</v>
      </c>
    </row>
    <row r="10" ht="20" customHeight="1">
      <c r="A10" s="6" t="n">
        <v>577069</v>
      </c>
      <c r="B10" s="7" t="inlineStr">
        <is>
          <t>[RD_DEV] (網路配置)网络视图，拖拽链接时，不应该自动修改通讯地址，建议增加跳转可编辑选项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16</v>
      </c>
      <c r="G10" s="6" t="n">
        <v>16</v>
      </c>
      <c r="H10" s="6" t="n">
        <v>0</v>
      </c>
    </row>
    <row r="11" ht="20" customHeight="1">
      <c r="A11" s="8" t="n">
        <v>575993</v>
      </c>
      <c r="B11" s="9" t="inlineStr">
        <is>
          <t>(Cyber Security) Regular review process of Main Process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1</v>
      </c>
      <c r="G11" s="8" t="n">
        <v>1.5</v>
      </c>
      <c r="H11" s="8" t="n">
        <v>0.5</v>
      </c>
    </row>
    <row r="12" ht="20" customHeight="1">
      <c r="A12" s="6" t="n">
        <v>575864</v>
      </c>
      <c r="B12" s="7" t="inlineStr">
        <is>
          <t>(Cyber Security) Regular review process of General Review Process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1</v>
      </c>
      <c r="G12" s="6" t="n">
        <v>1</v>
      </c>
      <c r="H12" s="6" t="n">
        <v>0</v>
      </c>
    </row>
    <row r="13" ht="20" customHeight="1">
      <c r="A13" s="8" t="n">
        <v>573571</v>
      </c>
      <c r="B13" s="9" t="inlineStr">
        <is>
          <t>[RD_DEV] HMI NW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16</v>
      </c>
      <c r="G13" s="8" t="n">
        <v>9.5</v>
      </c>
      <c r="H13" s="8" t="n">
        <v>-6.5</v>
      </c>
    </row>
    <row r="14" ht="20" customHeight="1">
      <c r="A14" s="6" t="n">
        <v>525119</v>
      </c>
      <c r="B14" s="7" t="inlineStr">
        <is>
          <t>[RD_DEV] AS332EC - 設備主體: 無法執行 PLC EIP Scan 功能</t>
        </is>
      </c>
      <c r="C14" s="6" t="inlineStr">
        <is>
          <t>Designer Rev1.14.0 Sprint3</t>
        </is>
      </c>
      <c r="D14" s="6" t="inlineStr">
        <is>
          <t>Task</t>
        </is>
      </c>
      <c r="E14" s="6" t="inlineStr">
        <is>
          <t>Completed</t>
        </is>
      </c>
      <c r="F14" s="6" t="n">
        <v>1</v>
      </c>
      <c r="G14" s="6" t="n">
        <v>1</v>
      </c>
      <c r="H14" s="6" t="n">
        <v>0</v>
      </c>
    </row>
    <row r="15" ht="20" customHeight="1">
      <c r="A15" s="8" t="n">
        <v>522702</v>
      </c>
      <c r="B15" s="9" t="inlineStr">
        <is>
          <t>[RD_DEV] DVPSEC - Check NW  PC Scan 是否可找到 DVPSEC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Completed</t>
        </is>
      </c>
      <c r="F15" s="8" t="n">
        <v>2</v>
      </c>
      <c r="G15" s="8" t="n">
        <v>2</v>
      </c>
      <c r="H15" s="8" t="n">
        <v>0</v>
      </c>
    </row>
    <row r="16" ht="20" customHeight="1">
      <c r="A16" s="6" t="n">
        <v>522701</v>
      </c>
      <c r="B16" s="7" t="inlineStr">
        <is>
          <t>[RD_DEV] DVPSEC - Check NW 是否可執行PLC EIP Scan功能</t>
        </is>
      </c>
      <c r="C16" s="6" t="inlineStr">
        <is>
          <t>Designer Rev1.14.0 Sprint3</t>
        </is>
      </c>
      <c r="D16" s="6" t="inlineStr">
        <is>
          <t>Task</t>
        </is>
      </c>
      <c r="E16" s="6" t="inlineStr">
        <is>
          <t>Completed</t>
        </is>
      </c>
      <c r="F16" s="6" t="n">
        <v>4</v>
      </c>
      <c r="G16" s="6" t="n">
        <v>0.5</v>
      </c>
      <c r="H16" s="6" t="n">
        <v>-3.5</v>
      </c>
    </row>
    <row r="17" ht="20" customHeight="1">
      <c r="A17" s="8" t="n">
        <v>518202</v>
      </c>
      <c r="B17" s="9" t="inlineStr">
        <is>
          <t>[RD_DEV] IO-Link Device 監控頁面</t>
        </is>
      </c>
      <c r="C17" s="8" t="inlineStr">
        <is>
          <t>Designer Rev1.14.0 Plan</t>
        </is>
      </c>
      <c r="D17" s="8" t="inlineStr">
        <is>
          <t>Task</t>
        </is>
      </c>
      <c r="E17" s="8" t="inlineStr">
        <is>
          <t>Completed</t>
        </is>
      </c>
      <c r="F17" s="8" t="n">
        <v>0</v>
      </c>
      <c r="G17" s="8" t="n">
        <v>0</v>
      </c>
      <c r="H17" s="8" t="n">
        <v>0</v>
      </c>
    </row>
    <row r="18" ht="20" customHeight="1">
      <c r="A18" s="6" t="n">
        <v>518201</v>
      </c>
      <c r="B18" s="7" t="inlineStr">
        <is>
          <t>[RD_DEV] IO-Link Master 監控頁面</t>
        </is>
      </c>
      <c r="C18" s="6" t="inlineStr">
        <is>
          <t>Designer Rev1.14.0 Plan</t>
        </is>
      </c>
      <c r="D18" s="6" t="inlineStr">
        <is>
          <t>Task</t>
        </is>
      </c>
      <c r="E18" s="6" t="inlineStr">
        <is>
          <t>Completed</t>
        </is>
      </c>
      <c r="F18" s="6" t="n">
        <v>16</v>
      </c>
      <c r="G18" s="6" t="n">
        <v>16.5</v>
      </c>
      <c r="H18" s="6" t="n">
        <v>0.5</v>
      </c>
    </row>
    <row r="19" ht="20" customHeight="1">
      <c r="A19" s="8" t="n">
        <v>518196</v>
      </c>
      <c r="B19" s="9" t="inlineStr">
        <is>
          <t>[RD_DEV] IO-Link Master 設定頁面 - Process Data 分頁</t>
        </is>
      </c>
      <c r="C19" s="8" t="inlineStr">
        <is>
          <t>Designer Rev1.14.0 Plan</t>
        </is>
      </c>
      <c r="D19" s="8" t="inlineStr">
        <is>
          <t>Task</t>
        </is>
      </c>
      <c r="E19" s="8" t="inlineStr">
        <is>
          <t>Completed</t>
        </is>
      </c>
      <c r="F19" s="8" t="n">
        <v>32</v>
      </c>
      <c r="G19" s="8" t="n">
        <v>24</v>
      </c>
      <c r="H19" s="8" t="n">
        <v>-8</v>
      </c>
    </row>
    <row r="20" ht="20" customHeight="1">
      <c r="A20" s="6" t="n">
        <v>507752</v>
      </c>
      <c r="B20" s="7" t="inlineStr">
        <is>
          <t>[RD_DEV] DIADesigner shall be able to download/upload via the AS-FFTP01 card</t>
        </is>
      </c>
      <c r="C20" s="6" t="inlineStr">
        <is>
          <t>Designer Rev1.14.0 Sprint1</t>
        </is>
      </c>
      <c r="D20" s="6" t="inlineStr">
        <is>
          <t>Task</t>
        </is>
      </c>
      <c r="E20" s="6" t="inlineStr">
        <is>
          <t>Completed</t>
        </is>
      </c>
      <c r="F20" s="6" t="n">
        <v>16</v>
      </c>
      <c r="G20" s="6" t="n">
        <v>4.5</v>
      </c>
      <c r="H20" s="6" t="n">
        <v>-11.5</v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2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FRANKNC.HO 何南瑾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4.0h</t>
        </is>
      </c>
      <c r="C5" s="3" t="inlineStr">
        <is>
          <t>4.0h</t>
        </is>
      </c>
      <c r="D5" s="3" t="inlineStr">
        <is>
          <t>100.0%</t>
        </is>
      </c>
      <c r="E5" s="3" t="inlineStr">
        <is>
          <t>2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576409</v>
      </c>
      <c r="B8" s="7" t="inlineStr">
        <is>
          <t>[RD_DEV]匯入不支援的Modbustcp版本或是不相同的Field Bus要防呆</t>
        </is>
      </c>
      <c r="C8" s="6" t="inlineStr">
        <is>
          <t>Rev1.14.0 DIADesigner</t>
        </is>
      </c>
      <c r="D8" s="6" t="inlineStr">
        <is>
          <t>Task</t>
        </is>
      </c>
      <c r="E8" s="6" t="inlineStr">
        <is>
          <t>Completed</t>
        </is>
      </c>
      <c r="F8" s="6" t="n">
        <v>4</v>
      </c>
      <c r="G8" s="6" t="n">
        <v>4</v>
      </c>
      <c r="H8" s="6" t="n">
        <v>0</v>
      </c>
    </row>
    <row r="9" ht="20" customHeight="1">
      <c r="A9" s="8" t="n">
        <v>518198</v>
      </c>
      <c r="B9" s="9" t="inlineStr">
        <is>
          <t>[RD_DEV] IO-Link Device 設定頁面 - Process Data 分頁</t>
        </is>
      </c>
      <c r="C9" s="8" t="inlineStr">
        <is>
          <t>Designer Rev1.14.0 Plan</t>
        </is>
      </c>
      <c r="D9" s="8" t="inlineStr">
        <is>
          <t>Task</t>
        </is>
      </c>
      <c r="E9" s="8" t="inlineStr">
        <is>
          <t>Completed</t>
        </is>
      </c>
      <c r="F9" s="8" t="n">
        <v>0</v>
      </c>
      <c r="G9" s="8" t="n">
        <v>0</v>
      </c>
      <c r="H9" s="8" t="n">
        <v>0</v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JANET.JC.CHEN 陳美蓁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24.0h</t>
        </is>
      </c>
      <c r="C5" s="3" t="inlineStr">
        <is>
          <t>10.0h</t>
        </is>
      </c>
      <c r="D5" s="3" t="inlineStr">
        <is>
          <t>41.7%</t>
        </is>
      </c>
      <c r="E5" s="3" t="inlineStr">
        <is>
          <t>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575705</v>
      </c>
      <c r="B8" s="7" t="inlineStr">
        <is>
          <t>(Cyber Security) Regular review process of TMRA Process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24</v>
      </c>
      <c r="G8" s="6" t="n">
        <v>10</v>
      </c>
      <c r="H8" s="6" t="n">
        <v>-14</v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JEAN.LC.WANG 王儷臻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40.0h</t>
        </is>
      </c>
      <c r="C5" s="3" t="inlineStr">
        <is>
          <t>18.0h</t>
        </is>
      </c>
      <c r="D5" s="3" t="inlineStr">
        <is>
          <t>45.0%</t>
        </is>
      </c>
      <c r="E5" s="3" t="inlineStr">
        <is>
          <t>3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572752</v>
      </c>
      <c r="B8" s="7" t="inlineStr">
        <is>
          <t>[RD_DEV] 初步驗證 B5 下載</t>
        </is>
      </c>
      <c r="C8" s="6" t="inlineStr">
        <is>
          <t>Designer Rev1.14.0 Sprint1</t>
        </is>
      </c>
      <c r="D8" s="6" t="inlineStr">
        <is>
          <t>Task</t>
        </is>
      </c>
      <c r="E8" s="6" t="inlineStr">
        <is>
          <t>In Progress</t>
        </is>
      </c>
      <c r="F8" s="6" t="n">
        <v>16</v>
      </c>
      <c r="G8" s="6" t="n">
        <v>2</v>
      </c>
      <c r="H8" s="6" t="n">
        <v>-14</v>
      </c>
    </row>
    <row r="9" ht="20" customHeight="1">
      <c r="A9" s="8" t="n">
        <v>525431</v>
      </c>
      <c r="B9" s="9" t="inlineStr">
        <is>
          <t>[RD_DEV][W3A] - 產品包驗證</t>
        </is>
      </c>
      <c r="C9" s="8" t="inlineStr">
        <is>
          <t>Designer Rev1.14.0 Sprint2</t>
        </is>
      </c>
      <c r="D9" s="8" t="inlineStr">
        <is>
          <t>Task</t>
        </is>
      </c>
      <c r="E9" s="8" t="inlineStr">
        <is>
          <t>In Progress</t>
        </is>
      </c>
      <c r="F9" s="8" t="n">
        <v>8</v>
      </c>
      <c r="G9" s="8" t="n">
        <v>2</v>
      </c>
      <c r="H9" s="8" t="n">
        <v>-6</v>
      </c>
    </row>
    <row r="10" ht="20" customHeight="1">
      <c r="A10" s="6" t="n">
        <v>499614</v>
      </c>
      <c r="B10" s="7" t="inlineStr">
        <is>
          <t>[RD_DEV] AS332EC - Corner 產品包驗證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In Progress</t>
        </is>
      </c>
      <c r="F10" s="6" t="n">
        <v>16</v>
      </c>
      <c r="G10" s="6" t="n">
        <v>14</v>
      </c>
      <c r="H10" s="6" t="n">
        <v>-2</v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1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JENNY.HY.CHEN 陳湘筠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110.0h</t>
        </is>
      </c>
      <c r="C5" s="3" t="inlineStr">
        <is>
          <t>68.0h</t>
        </is>
      </c>
      <c r="D5" s="3" t="inlineStr">
        <is>
          <t>61.8%</t>
        </is>
      </c>
      <c r="E5" s="3" t="inlineStr">
        <is>
          <t>20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582732</v>
      </c>
      <c r="B8" s="7" t="inlineStr">
        <is>
          <t>[RD_DEV] MX300 keypad 取值失敗時不應清空數值及單位</t>
        </is>
      </c>
      <c r="C8" s="6" t="inlineStr">
        <is>
          <t>Designer Rev1.14.0 Sprint2</t>
        </is>
      </c>
      <c r="D8" s="6" t="inlineStr">
        <is>
          <t>Task</t>
        </is>
      </c>
      <c r="E8" s="6" t="inlineStr">
        <is>
          <t>Completed</t>
        </is>
      </c>
      <c r="F8" s="6" t="n">
        <v>4</v>
      </c>
      <c r="G8" s="6" t="n">
        <v>3</v>
      </c>
      <c r="H8" s="6" t="n">
        <v>-1</v>
      </c>
    </row>
    <row r="9" ht="20" customHeight="1">
      <c r="A9" s="8" t="n">
        <v>581076</v>
      </c>
      <c r="B9" s="9" t="inlineStr">
        <is>
          <t>[RD_DEV][W3A] 擴充 0x48 錯誤訊息多國語系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8</v>
      </c>
      <c r="G9" s="8" t="n">
        <v>6</v>
      </c>
      <c r="H9" s="8" t="n">
        <v>-2</v>
      </c>
    </row>
    <row r="10" ht="20" customHeight="1">
      <c r="A10" s="6" t="n">
        <v>581075</v>
      </c>
      <c r="B10" s="7" t="inlineStr">
        <is>
          <t>[RD_DEV][W3A] 擴充 0x48 sfc3 封包格式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12</v>
      </c>
      <c r="G10" s="6" t="n">
        <v>8</v>
      </c>
      <c r="H10" s="6" t="n">
        <v>-4</v>
      </c>
    </row>
    <row r="11" ht="20" customHeight="1">
      <c r="A11" s="8" t="n">
        <v>579545</v>
      </c>
      <c r="B11" s="9" t="inlineStr">
        <is>
          <t>[RD_DEV][W3A] 示波器簡化PLC位置不合法錯誤資訊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1</v>
      </c>
      <c r="G11" s="8" t="n">
        <v>1</v>
      </c>
      <c r="H11" s="8" t="n">
        <v>0</v>
      </c>
    </row>
    <row r="12" ht="20" customHeight="1">
      <c r="A12" s="6" t="n">
        <v>578176</v>
      </c>
      <c r="B12" s="7" t="inlineStr">
        <is>
          <t>[RD_DEV][W3A] 使用 W3A 模擬器連線示波器的情況下，監控項目若有 Servo Normal 則要跳警告視窗</t>
        </is>
      </c>
      <c r="C12" s="6" t="inlineStr">
        <is>
          <t>Designer Rev1.14.0 Sprint2</t>
        </is>
      </c>
      <c r="D12" s="6" t="inlineStr">
        <is>
          <t>Task</t>
        </is>
      </c>
      <c r="E12" s="6" t="inlineStr">
        <is>
          <t>Completed</t>
        </is>
      </c>
      <c r="F12" s="6" t="n">
        <v>2</v>
      </c>
      <c r="G12" s="6" t="n">
        <v>3</v>
      </c>
      <c r="H12" s="6" t="n">
        <v>1</v>
      </c>
    </row>
    <row r="13" ht="20" customHeight="1">
      <c r="A13" s="8" t="n">
        <v>578175</v>
      </c>
      <c r="B13" s="9" t="inlineStr">
        <is>
          <t>[RD_DEV][W3A] 示波器監測項目為零的警告視窗增加易讀描述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2</v>
      </c>
      <c r="G13" s="8" t="n">
        <v>1</v>
      </c>
      <c r="H13" s="8" t="n">
        <v>-1</v>
      </c>
    </row>
    <row r="14" ht="20" customHeight="1">
      <c r="A14" s="6" t="n">
        <v>578174</v>
      </c>
      <c r="B14" s="7" t="inlineStr">
        <is>
          <t>[RD_DEV][W3A] 進入多頻道模式時，應禁用各自座標系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1</v>
      </c>
      <c r="G14" s="6" t="n">
        <v>1</v>
      </c>
      <c r="H14" s="6" t="n">
        <v>0</v>
      </c>
    </row>
    <row r="15" ht="20" customHeight="1">
      <c r="A15" s="8" t="n">
        <v>578171</v>
      </c>
      <c r="B15" s="9" t="inlineStr">
        <is>
          <t>[RD_DEV][W3A] 多通道示波器監控時，多通道 Y 軸沒有自動調整範圍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2</v>
      </c>
      <c r="G15" s="8" t="n">
        <v>2</v>
      </c>
      <c r="H15" s="8" t="n">
        <v>0</v>
      </c>
    </row>
    <row r="16" ht="20" customHeight="1">
      <c r="A16" s="6" t="n">
        <v>576755</v>
      </c>
      <c r="B16" s="7" t="inlineStr">
        <is>
          <t>[RD_DEV] 示波器停用動畫功能以提升效能，減少不必要運算</t>
        </is>
      </c>
      <c r="C16" s="6" t="inlineStr">
        <is>
          <t>Designer Rev1.14.0 Sprint1</t>
        </is>
      </c>
      <c r="D16" s="6" t="inlineStr">
        <is>
          <t>Task</t>
        </is>
      </c>
      <c r="E16" s="6" t="inlineStr">
        <is>
          <t>Completed</t>
        </is>
      </c>
      <c r="F16" s="6" t="n">
        <v>2</v>
      </c>
      <c r="G16" s="6" t="n">
        <v>2</v>
      </c>
      <c r="H16" s="6" t="n">
        <v>0</v>
      </c>
    </row>
    <row r="17" ht="20" customHeight="1">
      <c r="A17" s="8" t="n">
        <v>576748</v>
      </c>
      <c r="B17" s="9" t="inlineStr">
        <is>
          <t>[RD_DEV] PLC logger &amp; Tracer 示波器加入 undo/redo 功能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2</v>
      </c>
      <c r="G17" s="8" t="n">
        <v>2</v>
      </c>
      <c r="H17" s="8" t="n">
        <v>0</v>
      </c>
    </row>
    <row r="18" ht="20" customHeight="1">
      <c r="A18" s="6" t="n">
        <v>576747</v>
      </c>
      <c r="B18" s="7" t="inlineStr">
        <is>
          <t>[RD_DEV][W3A] W3A 示波器加入 undo/redo 功能</t>
        </is>
      </c>
      <c r="C18" s="6" t="inlineStr">
        <is>
          <t>Designer Rev1.14.0 Sprint2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10</v>
      </c>
      <c r="H18" s="6" t="n">
        <v>2</v>
      </c>
    </row>
    <row r="19" ht="20" customHeight="1">
      <c r="A19" s="8" t="n">
        <v>576746</v>
      </c>
      <c r="B19" s="9" t="inlineStr">
        <is>
          <t>[RD_DEV] VFD 示波器加入 undo/redo 功能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4</v>
      </c>
      <c r="G19" s="8" t="n">
        <v>2</v>
      </c>
      <c r="H19" s="8" t="n">
        <v>-2</v>
      </c>
    </row>
    <row r="20" ht="20" customHeight="1">
      <c r="A20" s="6" t="n">
        <v>576740</v>
      </c>
      <c r="B20" s="7" t="inlineStr">
        <is>
          <t>[RD_DEV][W3A] 多畫布加入 visibleRange 變更事件</t>
        </is>
      </c>
      <c r="C20" s="6" t="inlineStr">
        <is>
          <t>Designer Rev1.14.0 Sprint2</t>
        </is>
      </c>
      <c r="D20" s="6" t="inlineStr">
        <is>
          <t>Task</t>
        </is>
      </c>
      <c r="E20" s="6" t="inlineStr">
        <is>
          <t>Completed</t>
        </is>
      </c>
      <c r="F20" s="6" t="n">
        <v>2</v>
      </c>
      <c r="G20" s="6" t="n">
        <v>1</v>
      </c>
      <c r="H20" s="6" t="n">
        <v>-1</v>
      </c>
    </row>
    <row r="21" ht="20" customHeight="1">
      <c r="A21" s="8" t="n">
        <v>575846</v>
      </c>
      <c r="B21" s="9" t="inlineStr">
        <is>
          <t>[RD_DEV][W3A] 示波器增加最小、最大、平均值顯示欄位</t>
        </is>
      </c>
      <c r="C21" s="8" t="inlineStr">
        <is>
          <t>Designer Rev1.14.0 Plan</t>
        </is>
      </c>
      <c r="D21" s="8" t="inlineStr">
        <is>
          <t>Task</t>
        </is>
      </c>
      <c r="E21" s="8" t="inlineStr">
        <is>
          <t>Completed</t>
        </is>
      </c>
      <c r="F21" s="8" t="n">
        <v>8</v>
      </c>
      <c r="G21" s="8" t="n">
        <v>2</v>
      </c>
      <c r="H21" s="8" t="n">
        <v>-6</v>
      </c>
    </row>
    <row r="22" ht="20" customHeight="1">
      <c r="A22" s="6" t="n">
        <v>574840</v>
      </c>
      <c r="B22" s="7" t="inlineStr">
        <is>
          <t>[RD_DEV] MA500_通訊測試工具</t>
        </is>
      </c>
      <c r="C22" s="6" t="inlineStr">
        <is>
          <t>Designer Rev1.14.0 Sprint3</t>
        </is>
      </c>
      <c r="D22" s="6" t="inlineStr">
        <is>
          <t>Task</t>
        </is>
      </c>
      <c r="E22" s="6" t="inlineStr">
        <is>
          <t>Completed</t>
        </is>
      </c>
      <c r="F22" s="6" t="n">
        <v>4</v>
      </c>
      <c r="G22" s="6" t="n">
        <v>1</v>
      </c>
      <c r="H22" s="6" t="n">
        <v>-3</v>
      </c>
    </row>
    <row r="23" ht="20" customHeight="1">
      <c r="A23" s="8" t="n">
        <v>574839</v>
      </c>
      <c r="B23" s="9" t="inlineStr">
        <is>
          <t>[RD_DEV] MA500_示波器</t>
        </is>
      </c>
      <c r="C23" s="8" t="inlineStr">
        <is>
          <t>Designer Rev1.14.0 Sprint2</t>
        </is>
      </c>
      <c r="D23" s="8" t="inlineStr">
        <is>
          <t>Task</t>
        </is>
      </c>
      <c r="E23" s="8" t="inlineStr">
        <is>
          <t>Completed</t>
        </is>
      </c>
      <c r="F23" s="8" t="n">
        <v>8</v>
      </c>
      <c r="G23" s="8" t="n">
        <v>1</v>
      </c>
      <c r="H23" s="8" t="n">
        <v>-7</v>
      </c>
    </row>
    <row r="24" ht="20" customHeight="1">
      <c r="A24" s="6" t="n">
        <v>574838</v>
      </c>
      <c r="B24" s="7" t="inlineStr">
        <is>
          <t>[RD_DEV] MA500_數位操作器</t>
        </is>
      </c>
      <c r="C24" s="6" t="inlineStr">
        <is>
          <t>Designer Rev1.14.0 Sprint3</t>
        </is>
      </c>
      <c r="D24" s="6" t="inlineStr">
        <is>
          <t>Task</t>
        </is>
      </c>
      <c r="E24" s="6" t="inlineStr">
        <is>
          <t>Completed</t>
        </is>
      </c>
      <c r="F24" s="6" t="n">
        <v>4</v>
      </c>
      <c r="G24" s="6" t="n">
        <v>2</v>
      </c>
      <c r="H24" s="6" t="n">
        <v>-2</v>
      </c>
    </row>
    <row r="25" ht="20" customHeight="1">
      <c r="A25" s="8" t="n">
        <v>570316</v>
      </c>
      <c r="B25" s="9" t="inlineStr">
        <is>
          <t>[RD_DEV][W3A] 示波器停止時最小、最大、平均值隨畫面範圍內的數值變化</t>
        </is>
      </c>
      <c r="C25" s="8" t="inlineStr">
        <is>
          <t>Designer Rev1.14.0 Plan</t>
        </is>
      </c>
      <c r="D25" s="8" t="inlineStr">
        <is>
          <t>Task</t>
        </is>
      </c>
      <c r="E25" s="8" t="inlineStr">
        <is>
          <t>Completed</t>
        </is>
      </c>
      <c r="F25" s="8" t="n">
        <v>16</v>
      </c>
      <c r="G25" s="8" t="n">
        <v>6</v>
      </c>
      <c r="H25" s="8" t="n">
        <v>-10</v>
      </c>
    </row>
    <row r="26" ht="20" customHeight="1">
      <c r="A26" s="6" t="n">
        <v>540114</v>
      </c>
      <c r="B26" s="7" t="inlineStr">
        <is>
          <t>[RD_DEV][W3A] 示波器導入VFD示波器的事件觸發功能</t>
        </is>
      </c>
      <c r="C26" s="6" t="inlineStr">
        <is>
          <t>Designer Rev1.14.0 Plan</t>
        </is>
      </c>
      <c r="D26" s="6" t="inlineStr">
        <is>
          <t>Task</t>
        </is>
      </c>
      <c r="E26" s="6" t="inlineStr">
        <is>
          <t>In Progress</t>
        </is>
      </c>
      <c r="F26" s="6" t="n">
        <v>16</v>
      </c>
      <c r="G26" s="6" t="n">
        <v>10</v>
      </c>
      <c r="H26" s="6" t="n">
        <v>-6</v>
      </c>
    </row>
    <row r="27" ht="20" customHeight="1">
      <c r="A27" s="8" t="n">
        <v>526437</v>
      </c>
      <c r="B27" s="9" t="inlineStr">
        <is>
          <t>[RD_DEV][W3A] Corner 示波器各CH獨立頻寬操作 - 配合機種DDF來呈現取樣頻率清單</t>
        </is>
      </c>
      <c r="C27" s="8" t="inlineStr">
        <is>
          <t>Designer Rev1.14.0 Sprint2</t>
        </is>
      </c>
      <c r="D27" s="8" t="inlineStr">
        <is>
          <t>Task</t>
        </is>
      </c>
      <c r="E27" s="8" t="inlineStr">
        <is>
          <t>Completed</t>
        </is>
      </c>
      <c r="F27" s="8" t="n">
        <v>4</v>
      </c>
      <c r="G27" s="8" t="n">
        <v>4</v>
      </c>
      <c r="H27" s="8" t="n">
        <v>0</v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2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JOHNNY.MC.YEH 葉明勳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4.0h</t>
        </is>
      </c>
      <c r="C5" s="3" t="inlineStr">
        <is>
          <t>4.0h</t>
        </is>
      </c>
      <c r="D5" s="3" t="inlineStr">
        <is>
          <t>100.0%</t>
        </is>
      </c>
      <c r="E5" s="3" t="inlineStr">
        <is>
          <t>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577623</v>
      </c>
      <c r="B8" s="7" t="inlineStr">
        <is>
          <t>[RD_DEV] DVP16SV3_示波器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Completed</t>
        </is>
      </c>
      <c r="F8" s="6" t="n">
        <v>4</v>
      </c>
      <c r="G8" s="6" t="n">
        <v>4</v>
      </c>
      <c r="H8" s="6" t="n">
        <v>0</v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KAKA.WU 吳思言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56.0h</t>
        </is>
      </c>
      <c r="C5" s="3" t="inlineStr">
        <is>
          <t>1.3h</t>
        </is>
      </c>
      <c r="D5" s="3" t="inlineStr">
        <is>
          <t>2.3%</t>
        </is>
      </c>
      <c r="E5" s="3" t="inlineStr">
        <is>
          <t>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518197</v>
      </c>
      <c r="B8" s="7" t="inlineStr">
        <is>
          <t>[RD_DEV] IO-Link Device 設定頁面 - Parameter 分頁</t>
        </is>
      </c>
      <c r="C8" s="6" t="inlineStr">
        <is>
          <t>Designer Rev1.14.0 Plan</t>
        </is>
      </c>
      <c r="D8" s="6" t="inlineStr">
        <is>
          <t>Task</t>
        </is>
      </c>
      <c r="E8" s="6" t="inlineStr">
        <is>
          <t>Completed</t>
        </is>
      </c>
      <c r="F8" s="6" t="n">
        <v>56</v>
      </c>
      <c r="G8" s="6" t="n">
        <v>1.3</v>
      </c>
      <c r="H8" s="6" t="n">
        <v>-54.7</v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MILENA.CHEN 陳孟歆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56.0h</t>
        </is>
      </c>
      <c r="C5" s="3" t="inlineStr">
        <is>
          <t>25.5h</t>
        </is>
      </c>
      <c r="D5" s="3" t="inlineStr">
        <is>
          <t>45.5%</t>
        </is>
      </c>
      <c r="E5" s="3" t="inlineStr">
        <is>
          <t>11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580709</v>
      </c>
      <c r="B8" s="7" t="inlineStr">
        <is>
          <t>[RD_DEV] Migrate DdfCheck from DIAOneWeb.WebAPI to DIADesigner</t>
        </is>
      </c>
      <c r="C8" s="6" t="inlineStr">
        <is>
          <t>Rev1.14.0 DIADesigner</t>
        </is>
      </c>
      <c r="D8" s="6" t="inlineStr">
        <is>
          <t>Task</t>
        </is>
      </c>
      <c r="E8" s="6" t="inlineStr">
        <is>
          <t>Completed</t>
        </is>
      </c>
      <c r="F8" s="6" t="n">
        <v>4</v>
      </c>
      <c r="G8" s="6" t="n">
        <v>4</v>
      </c>
      <c r="H8" s="6" t="n">
        <v>0</v>
      </c>
    </row>
    <row r="9" ht="20" customHeight="1">
      <c r="A9" s="8" t="n">
        <v>578957</v>
      </c>
      <c r="B9" s="9" t="inlineStr">
        <is>
          <t>[RD_DEV] 修正寫 Device.xml Document NodeType 行為</t>
        </is>
      </c>
      <c r="C9" s="8" t="inlineStr">
        <is>
          <t>Rev1.14.0 DIADesigner</t>
        </is>
      </c>
      <c r="D9" s="8" t="inlineStr">
        <is>
          <t>Task</t>
        </is>
      </c>
      <c r="E9" s="8" t="inlineStr">
        <is>
          <t>Completed</t>
        </is>
      </c>
      <c r="F9" s="8" t="n">
        <v>2</v>
      </c>
      <c r="G9" s="8" t="n">
        <v>2</v>
      </c>
      <c r="H9" s="8" t="n">
        <v>0</v>
      </c>
    </row>
    <row r="10" ht="20" customHeight="1">
      <c r="A10" s="6" t="n">
        <v>578750</v>
      </c>
      <c r="B10" s="7" t="inlineStr">
        <is>
          <t>[RD_DEV]支援ASD A3-EX功能 POC_DDF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In Progress</t>
        </is>
      </c>
      <c r="F10" s="6" t="n">
        <v>8</v>
      </c>
      <c r="G10" s="6" t="n">
        <v>0.5</v>
      </c>
      <c r="H10" s="6" t="n">
        <v>-7.5</v>
      </c>
    </row>
    <row r="11" ht="20" customHeight="1">
      <c r="A11" s="8" t="n">
        <v>577620</v>
      </c>
      <c r="B11" s="9" t="inlineStr">
        <is>
          <t>[RD_DEV] DVP16SV3_裝置與錯誤資訊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8</v>
      </c>
      <c r="G11" s="8" t="n">
        <v>0.5</v>
      </c>
      <c r="H11" s="8" t="n">
        <v>-7.5</v>
      </c>
    </row>
    <row r="12" ht="20" customHeight="1">
      <c r="A12" s="6" t="n">
        <v>574836</v>
      </c>
      <c r="B12" s="7" t="inlineStr">
        <is>
          <t>[RD_DEV] MA500_裝置與錯誤資訊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4</v>
      </c>
      <c r="G12" s="6" t="n">
        <v>2</v>
      </c>
      <c r="H12" s="6" t="n">
        <v>-2</v>
      </c>
    </row>
    <row r="13" ht="20" customHeight="1">
      <c r="A13" s="8" t="n">
        <v>574830</v>
      </c>
      <c r="B13" s="9" t="inlineStr">
        <is>
          <t>[RD_DEV] MA500_新增裝置</t>
        </is>
      </c>
      <c r="C13" s="8" t="inlineStr">
        <is>
          <t>Designer Rev1.14.0 Sprint3</t>
        </is>
      </c>
      <c r="D13" s="8" t="inlineStr">
        <is>
          <t>Task</t>
        </is>
      </c>
      <c r="E13" s="8" t="inlineStr">
        <is>
          <t>Completed</t>
        </is>
      </c>
      <c r="F13" s="8" t="n">
        <v>4</v>
      </c>
      <c r="G13" s="8" t="n">
        <v>1</v>
      </c>
      <c r="H13" s="8" t="n">
        <v>-3</v>
      </c>
    </row>
    <row r="14" ht="20" customHeight="1">
      <c r="A14" s="6" t="n">
        <v>574829</v>
      </c>
      <c r="B14" s="7" t="inlineStr">
        <is>
          <t>[RD_DEV] MA500_DDF (新機種)</t>
        </is>
      </c>
      <c r="C14" s="6" t="inlineStr">
        <is>
          <t>Designer Rev1.14.0 Sprint3</t>
        </is>
      </c>
      <c r="D14" s="6" t="inlineStr">
        <is>
          <t>Task</t>
        </is>
      </c>
      <c r="E14" s="6" t="inlineStr">
        <is>
          <t>Completed</t>
        </is>
      </c>
      <c r="F14" s="6" t="n">
        <v>8</v>
      </c>
      <c r="G14" s="6" t="n">
        <v>1</v>
      </c>
      <c r="H14" s="6" t="n">
        <v>-7</v>
      </c>
    </row>
    <row r="15" ht="20" customHeight="1">
      <c r="A15" s="8" t="n">
        <v>574813</v>
      </c>
      <c r="B15" s="9" t="inlineStr">
        <is>
          <t>[RD_DEV] APF3000_新增裝置 &amp; DDF/EDS (release 前移除)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4</v>
      </c>
      <c r="G15" s="8" t="n">
        <v>1</v>
      </c>
      <c r="H15" s="8" t="n">
        <v>-3</v>
      </c>
    </row>
    <row r="16" ht="20" customHeight="1">
      <c r="A16" s="6" t="n">
        <v>574786</v>
      </c>
      <c r="B16" s="7" t="inlineStr">
        <is>
          <t>[RD_DEV] MX300-S_新增裝置 &amp; DDF (新機種)</t>
        </is>
      </c>
      <c r="C16" s="6" t="inlineStr">
        <is>
          <t>Designer Rev1.14.0 Sprint1</t>
        </is>
      </c>
      <c r="D16" s="6" t="inlineStr">
        <is>
          <t>Task</t>
        </is>
      </c>
      <c r="E16" s="6" t="inlineStr">
        <is>
          <t>Completed</t>
        </is>
      </c>
      <c r="F16" s="6" t="n">
        <v>2</v>
      </c>
      <c r="G16" s="6" t="n">
        <v>1</v>
      </c>
      <c r="H16" s="6" t="n">
        <v>-1</v>
      </c>
    </row>
    <row r="17" ht="20" customHeight="1">
      <c r="A17" s="8" t="n">
        <v>573572</v>
      </c>
      <c r="B17" s="9" t="inlineStr">
        <is>
          <t>[RD_DEV] HMI 圖檔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8</v>
      </c>
      <c r="G17" s="8" t="n">
        <v>9.5</v>
      </c>
      <c r="H17" s="8" t="n">
        <v>1.5</v>
      </c>
    </row>
    <row r="18" ht="20" customHeight="1">
      <c r="A18" s="6" t="n">
        <v>505435</v>
      </c>
      <c r="B18" s="7" t="inlineStr">
        <is>
          <t>[RD_DEV] VA3000_新增裝置 &amp; DDF (release 前移除)</t>
        </is>
      </c>
      <c r="C18" s="6" t="inlineStr">
        <is>
          <t>Designer Rev1.14.0 Sprint2</t>
        </is>
      </c>
      <c r="D18" s="6" t="inlineStr">
        <is>
          <t>Task</t>
        </is>
      </c>
      <c r="E18" s="6" t="inlineStr">
        <is>
          <t>Completed</t>
        </is>
      </c>
      <c r="F18" s="6" t="n">
        <v>4</v>
      </c>
      <c r="G18" s="6" t="n">
        <v>3</v>
      </c>
      <c r="H18" s="6" t="n">
        <v>-1</v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NANCY.TC.YANG 楊采真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275.5h</t>
        </is>
      </c>
      <c r="C5" s="3" t="inlineStr">
        <is>
          <t>133.1h</t>
        </is>
      </c>
      <c r="D5" s="3" t="inlineStr">
        <is>
          <t>48.3%</t>
        </is>
      </c>
      <c r="E5" s="3" t="inlineStr">
        <is>
          <t>21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580791</v>
      </c>
      <c r="B8" s="7" t="inlineStr">
        <is>
          <t>[RD_DEV] (硬體配置) AS300EC 機種從硬體配置新增功能卡會出現Exception</t>
        </is>
      </c>
      <c r="C8" s="6" t="inlineStr">
        <is>
          <t>Rev1.14.0 DIADesigner</t>
        </is>
      </c>
      <c r="D8" s="6" t="inlineStr">
        <is>
          <t>Task</t>
        </is>
      </c>
      <c r="E8" s="6" t="inlineStr">
        <is>
          <t>Completed</t>
        </is>
      </c>
      <c r="F8" s="6" t="n">
        <v>8</v>
      </c>
      <c r="G8" s="6" t="n">
        <v>8.5</v>
      </c>
      <c r="H8" s="6" t="n">
        <v>0.5</v>
      </c>
    </row>
    <row r="9" ht="20" customHeight="1">
      <c r="A9" s="8" t="n">
        <v>580436</v>
      </c>
      <c r="B9" s="9" t="inlineStr">
        <is>
          <t>[RD_DEV] (硬體配置) 取消轉送設定後開啟網路視圖參數設定被竄改</t>
        </is>
      </c>
      <c r="C9" s="8" t="inlineStr">
        <is>
          <t>Rev1.14.0 DIADesigner</t>
        </is>
      </c>
      <c r="D9" s="8" t="inlineStr">
        <is>
          <t>Task</t>
        </is>
      </c>
      <c r="E9" s="8" t="inlineStr">
        <is>
          <t>Completed</t>
        </is>
      </c>
      <c r="F9" s="8" t="n">
        <v>8</v>
      </c>
      <c r="G9" s="8" t="n">
        <v>6</v>
      </c>
      <c r="H9" s="8" t="n">
        <v>-2</v>
      </c>
    </row>
    <row r="10" ht="20" customHeight="1">
      <c r="A10" s="6" t="n">
        <v>578818</v>
      </c>
      <c r="B10" s="7" t="inlineStr">
        <is>
          <t xml:space="preserve">[RD_DEV][JIRA] (專案管理) [IABGVOC-1786] DIADesigner专案名字有写小数点的版本号时，如果另外档案，目前会把最后一个小数点的数值删除掉 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4</v>
      </c>
      <c r="G10" s="6" t="n">
        <v>3.5</v>
      </c>
      <c r="H10" s="6" t="n">
        <v>-0.5</v>
      </c>
    </row>
    <row r="11" ht="20" customHeight="1">
      <c r="A11" s="8" t="n">
        <v>578350</v>
      </c>
      <c r="B11" s="9" t="inlineStr">
        <is>
          <t>[RD_DEV]支援ASD A3-EX功能 POC_Online/Offline_SRS</t>
        </is>
      </c>
      <c r="C11" s="8" t="inlineStr">
        <is>
          <t>Designer Rev1.14.0 Sprint3</t>
        </is>
      </c>
      <c r="D11" s="8" t="inlineStr">
        <is>
          <t>Task</t>
        </is>
      </c>
      <c r="E11" s="8" t="inlineStr">
        <is>
          <t>Completed</t>
        </is>
      </c>
      <c r="F11" s="8" t="n">
        <v>4</v>
      </c>
      <c r="G11" s="8" t="n">
        <v>5.5</v>
      </c>
      <c r="H11" s="8" t="n">
        <v>1.5</v>
      </c>
    </row>
    <row r="12" ht="20" customHeight="1">
      <c r="A12" s="6" t="n">
        <v>578140</v>
      </c>
      <c r="B12" s="7" t="inlineStr">
        <is>
          <t>[RD_DEV]支援ASD A3-EX功能 POC_DI DO function configuration Requirement_SRS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Resolved</t>
        </is>
      </c>
      <c r="F12" s="6" t="n">
        <v>12</v>
      </c>
      <c r="G12" s="6" t="n">
        <v>11.5</v>
      </c>
      <c r="H12" s="6" t="n">
        <v>-0.5</v>
      </c>
    </row>
    <row r="13" ht="20" customHeight="1">
      <c r="A13" s="8" t="n">
        <v>578123</v>
      </c>
      <c r="B13" s="9" t="inlineStr">
        <is>
          <t>[RD_DEV](線上模式) 線上模式匹配不符時， 英文的提示字會被切掉</t>
        </is>
      </c>
      <c r="C13" s="8" t="inlineStr">
        <is>
          <t>Rev1.14.0 DIADesigner</t>
        </is>
      </c>
      <c r="D13" s="8" t="inlineStr">
        <is>
          <t>Task</t>
        </is>
      </c>
      <c r="E13" s="8" t="inlineStr">
        <is>
          <t>Completed</t>
        </is>
      </c>
      <c r="F13" s="8" t="n">
        <v>1</v>
      </c>
      <c r="G13" s="8" t="n">
        <v>1.7</v>
      </c>
      <c r="H13" s="8" t="n">
        <v>0.7</v>
      </c>
    </row>
    <row r="14" ht="20" customHeight="1">
      <c r="A14" s="6" t="n">
        <v>578070</v>
      </c>
      <c r="B14" s="7" t="inlineStr">
        <is>
          <t>[RD_DEV](新增裝置) When clicking a node in the project tree with the mouse, the focused item does not display a colored background. (3/3)</t>
        </is>
      </c>
      <c r="C14" s="6" t="inlineStr">
        <is>
          <t>Rev1.14.0 DIADesigner</t>
        </is>
      </c>
      <c r="D14" s="6" t="inlineStr">
        <is>
          <t>Task</t>
        </is>
      </c>
      <c r="E14" s="6" t="inlineStr">
        <is>
          <t>Completed</t>
        </is>
      </c>
      <c r="F14" s="6" t="n">
        <v>4</v>
      </c>
      <c r="G14" s="6" t="n">
        <v>2.1</v>
      </c>
      <c r="H14" s="6" t="n">
        <v>-1.9</v>
      </c>
    </row>
    <row r="15" ht="20" customHeight="1">
      <c r="A15" s="8" t="n">
        <v>577958</v>
      </c>
      <c r="B15" s="9" t="inlineStr">
        <is>
          <t>[RD_DEV]支援ASD A3-EX功能 POC_Ethernet Connection Requirement_SRS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Completed</t>
        </is>
      </c>
      <c r="F15" s="8" t="n">
        <v>8</v>
      </c>
      <c r="G15" s="8" t="n">
        <v>1.5</v>
      </c>
      <c r="H15" s="8" t="n">
        <v>-6.5</v>
      </c>
    </row>
    <row r="16" ht="20" customHeight="1">
      <c r="A16" s="6" t="n">
        <v>577777</v>
      </c>
      <c r="B16" s="7" t="inlineStr">
        <is>
          <t>[RD_DEV](網路配置)  项目树与网络视图控制，联动，可同时选中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Completed</t>
        </is>
      </c>
      <c r="F16" s="6" t="n">
        <v>4</v>
      </c>
      <c r="G16" s="6" t="n">
        <v>4.1</v>
      </c>
      <c r="H16" s="6" t="n">
        <v>0.1</v>
      </c>
    </row>
    <row r="17" ht="20" customHeight="1">
      <c r="A17" s="8" t="n">
        <v>577624</v>
      </c>
      <c r="B17" s="9" t="inlineStr">
        <is>
          <t>[RD_DEV] DVP16SV3_機種轉換</t>
        </is>
      </c>
      <c r="C17" s="8" t="inlineStr">
        <is>
          <t>Designer Rev1.14.0 Sprint3</t>
        </is>
      </c>
      <c r="D17" s="8" t="inlineStr">
        <is>
          <t>Task</t>
        </is>
      </c>
      <c r="E17" s="8" t="inlineStr">
        <is>
          <t>Completed</t>
        </is>
      </c>
      <c r="F17" s="8" t="n">
        <v>0.5</v>
      </c>
      <c r="G17" s="8" t="n">
        <v>0.5</v>
      </c>
      <c r="H17" s="8" t="n">
        <v>0</v>
      </c>
    </row>
    <row r="18" ht="20" customHeight="1">
      <c r="A18" s="6" t="n">
        <v>577619</v>
      </c>
      <c r="B18" s="7" t="inlineStr">
        <is>
          <t>[RD_DEV] DVP16SV3_參數編輯器</t>
        </is>
      </c>
      <c r="C18" s="6" t="inlineStr">
        <is>
          <t>Designer Rev1.14.0 Sprint3</t>
        </is>
      </c>
      <c r="D18" s="6" t="inlineStr">
        <is>
          <t>Task</t>
        </is>
      </c>
      <c r="E18" s="6" t="inlineStr">
        <is>
          <t>Completed</t>
        </is>
      </c>
      <c r="F18" s="6" t="n">
        <v>2</v>
      </c>
      <c r="G18" s="6" t="n">
        <v>1.5</v>
      </c>
      <c r="H18" s="6" t="n">
        <v>-0.5</v>
      </c>
    </row>
    <row r="19" ht="20" customHeight="1">
      <c r="A19" s="8" t="n">
        <v>576903</v>
      </c>
      <c r="B19" s="9" t="inlineStr">
        <is>
          <t>[RD_DEV](專案管理) 當任一裝置切換成線上模式時，DIADesigner 應一律禁止上載下載行為</t>
        </is>
      </c>
      <c r="C19" s="8" t="inlineStr">
        <is>
          <t>Designer Rev1.14.0 Sprint2</t>
        </is>
      </c>
      <c r="D19" s="8" t="inlineStr">
        <is>
          <t>Task</t>
        </is>
      </c>
      <c r="E19" s="8" t="inlineStr">
        <is>
          <t>Completed</t>
        </is>
      </c>
      <c r="F19" s="8" t="n">
        <v>8</v>
      </c>
      <c r="G19" s="8" t="n">
        <v>8.199999999999999</v>
      </c>
      <c r="H19" s="8" t="n">
        <v>0.2</v>
      </c>
    </row>
    <row r="20" ht="20" customHeight="1">
      <c r="A20" s="6" t="n">
        <v>576235</v>
      </c>
      <c r="B20" s="7" t="inlineStr">
        <is>
          <t>[RD_DEV]DURApulse Designer 2st Beta SW Review Reply_20260413</t>
        </is>
      </c>
      <c r="C20" s="6" t="inlineStr">
        <is>
          <t>Designer Rev1.14.0 Sprint3</t>
        </is>
      </c>
      <c r="D20" s="6" t="inlineStr">
        <is>
          <t>Task</t>
        </is>
      </c>
      <c r="E20" s="6" t="inlineStr">
        <is>
          <t>Completed</t>
        </is>
      </c>
      <c r="F20" s="6" t="n">
        <v>32</v>
      </c>
      <c r="G20" s="6" t="n">
        <v>17.5</v>
      </c>
      <c r="H20" s="6" t="n">
        <v>-14.5</v>
      </c>
    </row>
    <row r="21" ht="20" customHeight="1">
      <c r="A21" s="8" t="n">
        <v>576071</v>
      </c>
      <c r="B21" s="9" t="inlineStr">
        <is>
          <t>[RD_DEV] 規劃如何讓Security Main Process運行在既有Designer版本流程上</t>
        </is>
      </c>
      <c r="C21" s="8" t="inlineStr">
        <is>
          <t>Designer Rev1.14.0 Sprint3</t>
        </is>
      </c>
      <c r="D21" s="8" t="inlineStr">
        <is>
          <t>Task</t>
        </is>
      </c>
      <c r="E21" s="8" t="inlineStr">
        <is>
          <t>In Progress</t>
        </is>
      </c>
      <c r="F21" s="8" t="n">
        <v>24</v>
      </c>
      <c r="G21" s="8" t="n">
        <v>18</v>
      </c>
      <c r="H21" s="8" t="n">
        <v>-6</v>
      </c>
    </row>
    <row r="22" ht="20" customHeight="1">
      <c r="A22" s="6" t="n">
        <v>574834</v>
      </c>
      <c r="B22" s="7" t="inlineStr">
        <is>
          <t>[RD_DEV] MA500_參數編輯器</t>
        </is>
      </c>
      <c r="C22" s="6" t="inlineStr">
        <is>
          <t>Designer Rev1.14.0 Sprint3</t>
        </is>
      </c>
      <c r="D22" s="6" t="inlineStr">
        <is>
          <t>Task</t>
        </is>
      </c>
      <c r="E22" s="6" t="inlineStr">
        <is>
          <t>Completed</t>
        </is>
      </c>
      <c r="F22" s="6" t="n">
        <v>8</v>
      </c>
      <c r="G22" s="6" t="n">
        <v>2.5</v>
      </c>
      <c r="H22" s="6" t="n">
        <v>-5.5</v>
      </c>
    </row>
    <row r="23" ht="20" customHeight="1">
      <c r="A23" s="8" t="n">
        <v>572194</v>
      </c>
      <c r="B23" s="9" t="inlineStr">
        <is>
          <t>[RD_DEV] 1.14.0 PJM &amp; PMO Related work</t>
        </is>
      </c>
      <c r="C23" s="8" t="inlineStr">
        <is>
          <t>Rev1.14.0 DIADesigner</t>
        </is>
      </c>
      <c r="D23" s="8" t="inlineStr">
        <is>
          <t>Task</t>
        </is>
      </c>
      <c r="E23" s="8" t="inlineStr">
        <is>
          <t>In Progress</t>
        </is>
      </c>
      <c r="F23" s="8" t="n">
        <v>40</v>
      </c>
      <c r="G23" s="8" t="n">
        <v>20</v>
      </c>
      <c r="H23" s="8" t="n">
        <v>-20</v>
      </c>
    </row>
    <row r="24" ht="20" customHeight="1">
      <c r="A24" s="6" t="n">
        <v>560172</v>
      </c>
      <c r="B24" s="7" t="inlineStr">
        <is>
          <t>[RD_DEV] 修改SAS內容</t>
        </is>
      </c>
      <c r="C24" s="6" t="inlineStr">
        <is>
          <t>Rev1.14.0 DIADesigner</t>
        </is>
      </c>
      <c r="D24" s="6" t="inlineStr">
        <is>
          <t>Task</t>
        </is>
      </c>
      <c r="E24" s="6" t="inlineStr">
        <is>
          <t>Completed</t>
        </is>
      </c>
      <c r="F24" s="6" t="n">
        <v>40</v>
      </c>
      <c r="G24" s="6" t="n">
        <v>5</v>
      </c>
      <c r="H24" s="6" t="n">
        <v>-35</v>
      </c>
    </row>
    <row r="25" ht="20" customHeight="1">
      <c r="A25" s="8" t="n">
        <v>558807</v>
      </c>
      <c r="B25" s="9" t="inlineStr">
        <is>
          <t>[RD_DEV] 申請表併入SAS、參數對應表、SRS等文件</t>
        </is>
      </c>
      <c r="C25" s="8" t="inlineStr">
        <is>
          <t>Rev1.14.0 DIADesigner</t>
        </is>
      </c>
      <c r="D25" s="8" t="inlineStr">
        <is>
          <t>Task</t>
        </is>
      </c>
      <c r="E25" s="8" t="inlineStr">
        <is>
          <t>Completed</t>
        </is>
      </c>
      <c r="F25" s="8" t="n">
        <v>16</v>
      </c>
      <c r="G25" s="8" t="n">
        <v>12</v>
      </c>
      <c r="H25" s="8" t="n">
        <v>-4</v>
      </c>
    </row>
    <row r="26" ht="20" customHeight="1">
      <c r="A26" s="6" t="n">
        <v>532083</v>
      </c>
      <c r="B26" s="7" t="inlineStr">
        <is>
          <t>[RD_DEV] VFD_資料交換表文件範圍確認與更新</t>
        </is>
      </c>
      <c r="C26" s="6" t="inlineStr">
        <is>
          <t>Rev1.14.0 DIADesigner</t>
        </is>
      </c>
      <c r="D26" s="6" t="inlineStr">
        <is>
          <t>Task</t>
        </is>
      </c>
      <c r="E26" s="6" t="inlineStr">
        <is>
          <t>Resolved</t>
        </is>
      </c>
      <c r="F26" s="6" t="n">
        <v>8</v>
      </c>
      <c r="G26" s="6" t="n">
        <v>0.2</v>
      </c>
      <c r="H26" s="6" t="n">
        <v>-7.8</v>
      </c>
    </row>
    <row r="27" ht="20" customHeight="1">
      <c r="A27" s="8" t="n">
        <v>523127</v>
      </c>
      <c r="B27" s="9" t="inlineStr">
        <is>
          <t>[RD_DEV] VFD_裝置Online/Offline資訊文件範圍確認(Config)</t>
        </is>
      </c>
      <c r="C27" s="8" t="inlineStr">
        <is>
          <t>Rev1.14.0 DIADesigner</t>
        </is>
      </c>
      <c r="D27" s="8" t="inlineStr">
        <is>
          <t>Task</t>
        </is>
      </c>
      <c r="E27" s="8" t="inlineStr">
        <is>
          <t>Completed</t>
        </is>
      </c>
      <c r="F27" s="8" t="n">
        <v>4</v>
      </c>
      <c r="G27" s="8" t="n">
        <v>2.3</v>
      </c>
      <c r="H27" s="8" t="n">
        <v>-1.7</v>
      </c>
    </row>
    <row r="28" ht="20" customHeight="1">
      <c r="A28" s="6" t="n">
        <v>523123</v>
      </c>
      <c r="B28" s="7" t="inlineStr">
        <is>
          <t>[RD_DEV] VFD_調適資訊文件範圍確認與更新_Config</t>
        </is>
      </c>
      <c r="C28" s="6" t="inlineStr">
        <is>
          <t>Rev1.14.0 DIADesigner</t>
        </is>
      </c>
      <c r="D28" s="6" t="inlineStr">
        <is>
          <t>Task</t>
        </is>
      </c>
      <c r="E28" s="6" t="inlineStr">
        <is>
          <t>Resolved</t>
        </is>
      </c>
      <c r="F28" s="6" t="n">
        <v>40</v>
      </c>
      <c r="G28" s="6" t="n">
        <v>1</v>
      </c>
      <c r="H28" s="6" t="n">
        <v>-39</v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2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WILLIAM.HC.SHEN 沈桓慶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144.0h</t>
        </is>
      </c>
      <c r="C5" s="3" t="inlineStr">
        <is>
          <t>120.5h</t>
        </is>
      </c>
      <c r="D5" s="3" t="inlineStr">
        <is>
          <t>83.7%</t>
        </is>
      </c>
      <c r="E5" s="3" t="inlineStr">
        <is>
          <t>12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583237</v>
      </c>
      <c r="B8" s="7" t="inlineStr">
        <is>
          <t>[RD_DEV]ECAT 掃描更新事件</t>
        </is>
      </c>
      <c r="C8" s="6" t="inlineStr">
        <is>
          <t>Designer Rev1.14.0 Sprint3</t>
        </is>
      </c>
      <c r="D8" s="6" t="inlineStr">
        <is>
          <t>Task</t>
        </is>
      </c>
      <c r="E8" s="6" t="inlineStr">
        <is>
          <t>Resolved</t>
        </is>
      </c>
      <c r="F8" s="6" t="n">
        <v>16</v>
      </c>
      <c r="G8" s="6" t="n">
        <v>8</v>
      </c>
      <c r="H8" s="6" t="n">
        <v>-8</v>
      </c>
    </row>
    <row r="9" ht="20" customHeight="1">
      <c r="A9" s="8" t="n">
        <v>582319</v>
      </c>
      <c r="B9" s="9" t="inlineStr">
        <is>
          <t>[RD_DEV]DeviceEvent 寫錯導致 event 沒有觸發</t>
        </is>
      </c>
      <c r="C9" s="8" t="inlineStr">
        <is>
          <t>Designer Rev1.14.0 Sprint3</t>
        </is>
      </c>
      <c r="D9" s="8" t="inlineStr">
        <is>
          <t>Task</t>
        </is>
      </c>
      <c r="E9" s="8" t="inlineStr">
        <is>
          <t>Completed</t>
        </is>
      </c>
      <c r="F9" s="8" t="n">
        <v>8</v>
      </c>
      <c r="G9" s="8" t="n">
        <v>8.5</v>
      </c>
      <c r="H9" s="8" t="n">
        <v>0.5</v>
      </c>
    </row>
    <row r="10" ht="20" customHeight="1">
      <c r="A10" s="6" t="n">
        <v>577005</v>
      </c>
      <c r="B10" s="7" t="inlineStr">
        <is>
          <t>[RD_DEV]W3A EtherCAT 拓樸圖從站 Advance Option 禁用 revision 檢查</t>
        </is>
      </c>
      <c r="C10" s="6" t="inlineStr">
        <is>
          <t>Designer Rev1.14.0 Sprint2</t>
        </is>
      </c>
      <c r="D10" s="6" t="inlineStr">
        <is>
          <t>Task</t>
        </is>
      </c>
      <c r="E10" s="6" t="inlineStr">
        <is>
          <t>Completed</t>
        </is>
      </c>
      <c r="F10" s="6" t="n">
        <v>8</v>
      </c>
      <c r="G10" s="6" t="n">
        <v>4</v>
      </c>
      <c r="H10" s="6" t="n">
        <v>-4</v>
      </c>
    </row>
    <row r="11" ht="20" customHeight="1">
      <c r="A11" s="8" t="n">
        <v>577004</v>
      </c>
      <c r="B11" s="9" t="inlineStr">
        <is>
          <t>[RD_DEV]ECAT PDO配置UI優化 (新增PDO, 清單畫面不要跳至第一項/ 新增PDO參數做標示)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16</v>
      </c>
      <c r="G11" s="8" t="n">
        <v>14</v>
      </c>
      <c r="H11" s="8" t="n">
        <v>-2</v>
      </c>
    </row>
    <row r="12" ht="20" customHeight="1">
      <c r="A12" s="6" t="n">
        <v>576998</v>
      </c>
      <c r="B12" s="7" t="inlineStr">
        <is>
          <t>[RD_DEV]ECAT從站客製化名稱要同步到軸上</t>
        </is>
      </c>
      <c r="C12" s="6" t="inlineStr">
        <is>
          <t>Designer Rev1.14.0 Sprint2</t>
        </is>
      </c>
      <c r="D12" s="6" t="inlineStr">
        <is>
          <t>Task</t>
        </is>
      </c>
      <c r="E12" s="6" t="inlineStr">
        <is>
          <t>Completed</t>
        </is>
      </c>
      <c r="F12" s="6" t="n">
        <v>8</v>
      </c>
      <c r="G12" s="6" t="n">
        <v>10</v>
      </c>
      <c r="H12" s="6" t="n">
        <v>2</v>
      </c>
    </row>
    <row r="13" ht="20" customHeight="1">
      <c r="A13" s="8" t="n">
        <v>576996</v>
      </c>
      <c r="B13" s="9" t="inlineStr">
        <is>
          <t>[RD_DEV] EtherCAT ToolBar 添加 datagram 使用量</t>
        </is>
      </c>
      <c r="C13" s="8" t="inlineStr">
        <is>
          <t>Designer Rev1.14.0 Sprint2</t>
        </is>
      </c>
      <c r="D13" s="8" t="inlineStr">
        <is>
          <t>Task</t>
        </is>
      </c>
      <c r="E13" s="8" t="inlineStr">
        <is>
          <t>Completed</t>
        </is>
      </c>
      <c r="F13" s="8" t="n">
        <v>16</v>
      </c>
      <c r="G13" s="8" t="n">
        <v>28</v>
      </c>
      <c r="H13" s="8" t="n">
        <v>12</v>
      </c>
    </row>
    <row r="14" ht="20" customHeight="1">
      <c r="A14" s="6" t="n">
        <v>576994</v>
      </c>
      <c r="B14" s="7" t="inlineStr">
        <is>
          <t>[RD_DEV]修改 ECAT 站號排列規則，從1001起</t>
        </is>
      </c>
      <c r="C14" s="6" t="inlineStr">
        <is>
          <t>Designer Rev1.14.0 Sprint2</t>
        </is>
      </c>
      <c r="D14" s="6" t="inlineStr">
        <is>
          <t>Task</t>
        </is>
      </c>
      <c r="E14" s="6" t="inlineStr">
        <is>
          <t>Completed</t>
        </is>
      </c>
      <c r="F14" s="6" t="n">
        <v>8</v>
      </c>
      <c r="G14" s="6" t="n">
        <v>4</v>
      </c>
      <c r="H14" s="6" t="n">
        <v>-4</v>
      </c>
    </row>
    <row r="15" ht="20" customHeight="1">
      <c r="A15" s="8" t="n">
        <v>576491</v>
      </c>
      <c r="B15" s="9" t="inlineStr">
        <is>
          <t>[RD_DEV][W3A] EtherCAT IO 映射表提供 sub channel 資訊給編譯器</t>
        </is>
      </c>
      <c r="C15" s="8" t="inlineStr">
        <is>
          <t>Designer Rev1.14.0 Sprint3</t>
        </is>
      </c>
      <c r="D15" s="8" t="inlineStr">
        <is>
          <t>Task</t>
        </is>
      </c>
      <c r="E15" s="8" t="inlineStr">
        <is>
          <t>Completed</t>
        </is>
      </c>
      <c r="F15" s="8" t="n">
        <v>8</v>
      </c>
      <c r="G15" s="8" t="n">
        <v>4</v>
      </c>
      <c r="H15" s="8" t="n">
        <v>-4</v>
      </c>
    </row>
    <row r="16" ht="20" customHeight="1">
      <c r="A16" s="6" t="n">
        <v>576481</v>
      </c>
      <c r="B16" s="7" t="inlineStr">
        <is>
          <t>[RD_DEV]新增台達裝置從裝置樹批次添加功能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Completed</t>
        </is>
      </c>
      <c r="F16" s="6" t="n">
        <v>12</v>
      </c>
      <c r="G16" s="6" t="n">
        <v>12</v>
      </c>
      <c r="H16" s="6" t="n">
        <v>0</v>
      </c>
    </row>
    <row r="17" ht="20" customHeight="1">
      <c r="A17" s="8" t="n">
        <v>576480</v>
      </c>
      <c r="B17" s="9" t="inlineStr">
        <is>
          <t>[RD_DEV]新增總線裝置批次添加功能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12</v>
      </c>
      <c r="G17" s="8" t="n">
        <v>12</v>
      </c>
      <c r="H17" s="8" t="n">
        <v>0</v>
      </c>
    </row>
    <row r="18" ht="20" customHeight="1">
      <c r="A18" s="6" t="n">
        <v>574667</v>
      </c>
      <c r="B18" s="7" t="inlineStr">
        <is>
          <t>[RD_DEV] EtherCAT_Tag_Table 變數名稱異常</t>
        </is>
      </c>
      <c r="C18" s="6" t="inlineStr">
        <is>
          <t>Designer Rev1.14.0 Plan</t>
        </is>
      </c>
      <c r="D18" s="6" t="inlineStr">
        <is>
          <t>Task</t>
        </is>
      </c>
      <c r="E18" s="6" t="inlineStr">
        <is>
          <t>Completed</t>
        </is>
      </c>
      <c r="F18" s="6" t="n">
        <v>8</v>
      </c>
      <c r="G18" s="6" t="n">
        <v>4</v>
      </c>
      <c r="H18" s="6" t="n">
        <v>-4</v>
      </c>
    </row>
    <row r="19" ht="20" customHeight="1">
      <c r="A19" s="8" t="n">
        <v>564806</v>
      </c>
      <c r="B19" s="9" t="inlineStr">
        <is>
          <t>[RD_DEV]當使用者配置的 EtherCAT 從站項目，有超出 FECAT 或 DVP-ES3(TEC) 限制的 pdo entry數量時，跳出警告</t>
        </is>
      </c>
      <c r="C19" s="8" t="inlineStr">
        <is>
          <t>Designer Rev1.14.0 Plan</t>
        </is>
      </c>
      <c r="D19" s="8" t="inlineStr">
        <is>
          <t>Task</t>
        </is>
      </c>
      <c r="E19" s="8" t="inlineStr">
        <is>
          <t>In Progress</t>
        </is>
      </c>
      <c r="F19" s="8" t="n">
        <v>24</v>
      </c>
      <c r="G19" s="8" t="n">
        <v>12</v>
      </c>
      <c r="H19" s="8" t="n">
        <v>-12</v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1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8" customWidth="1" min="3" max="3"/>
    <col width="10" customWidth="1" min="4" max="4"/>
    <col width="18" customWidth="1" min="5" max="5"/>
    <col width="13" customWidth="1" min="6" max="6"/>
    <col width="13" customWidth="1" min="7" max="7"/>
    <col width="10" customWidth="1" min="8" max="8"/>
  </cols>
  <sheetData>
    <row r="1" ht="20" customHeight="1">
      <c r="A1" s="4" t="inlineStr">
        <is>
          <t>XAVIERA.FAN 范珮欣</t>
        </is>
      </c>
    </row>
    <row r="2" ht="20" customHeight="1"/>
    <row r="3" ht="20" customHeight="1"/>
    <row r="4" ht="20" customHeight="1">
      <c r="B4" s="2" t="inlineStr">
        <is>
          <t>Estimate(h)</t>
        </is>
      </c>
      <c r="C4" s="2" t="inlineStr">
        <is>
          <t>TimeSpend(h)</t>
        </is>
      </c>
      <c r="D4" s="2" t="inlineStr">
        <is>
          <t>Utilization</t>
        </is>
      </c>
      <c r="E4" s="2" t="inlineStr">
        <is>
          <t>Tasks</t>
        </is>
      </c>
    </row>
    <row r="5" ht="20" customHeight="1">
      <c r="B5" s="3" t="inlineStr">
        <is>
          <t>132.0h</t>
        </is>
      </c>
      <c r="C5" s="3" t="inlineStr">
        <is>
          <t>48.3h</t>
        </is>
      </c>
      <c r="D5" s="3" t="inlineStr">
        <is>
          <t>36.6%</t>
        </is>
      </c>
      <c r="E5" s="3" t="inlineStr">
        <is>
          <t>14</t>
        </is>
      </c>
    </row>
    <row r="6" ht="20" customHeight="1"/>
    <row r="7" ht="24" customHeight="1">
      <c r="A7" s="5" t="inlineStr">
        <is>
          <t>ID</t>
        </is>
      </c>
      <c r="B7" s="5" t="inlineStr">
        <is>
          <t>Summary</t>
        </is>
      </c>
      <c r="C7" s="5" t="inlineStr">
        <is>
          <t>Planned For</t>
        </is>
      </c>
      <c r="D7" s="5" t="inlineStr">
        <is>
          <t>Type</t>
        </is>
      </c>
      <c r="E7" s="5" t="inlineStr">
        <is>
          <t>State</t>
        </is>
      </c>
      <c r="F7" s="5" t="inlineStr">
        <is>
          <t>Estimate(h)</t>
        </is>
      </c>
      <c r="G7" s="5" t="inlineStr">
        <is>
          <t>TimeSpend(h)</t>
        </is>
      </c>
      <c r="H7" s="5" t="inlineStr">
        <is>
          <t>Diff(h)</t>
        </is>
      </c>
    </row>
    <row r="8" ht="20" customHeight="1">
      <c r="A8" s="6" t="n">
        <v>579571</v>
      </c>
      <c r="B8" s="7" t="inlineStr">
        <is>
          <t>[RD_DEV] W3A上載新增設備時, 須初始化 Embedded Device 通訊</t>
        </is>
      </c>
      <c r="C8" s="6" t="inlineStr">
        <is>
          <t>Designer Rev1.14.0 Sprint2</t>
        </is>
      </c>
      <c r="D8" s="6" t="inlineStr">
        <is>
          <t>Task</t>
        </is>
      </c>
      <c r="E8" s="6" t="inlineStr">
        <is>
          <t>Completed</t>
        </is>
      </c>
      <c r="F8" s="6" t="n">
        <v>24</v>
      </c>
      <c r="G8" s="6" t="n">
        <v>10.5</v>
      </c>
      <c r="H8" s="6" t="n">
        <v>-13.5</v>
      </c>
    </row>
    <row r="9" ht="20" customHeight="1">
      <c r="A9" s="8" t="n">
        <v>579204</v>
      </c>
      <c r="B9" s="9" t="inlineStr">
        <is>
          <t>[RD_DEV] VFD: online 時, 狀態列顯示錯誤</t>
        </is>
      </c>
      <c r="C9" s="8" t="inlineStr">
        <is>
          <t>Designer Rev1.14.0 Sprint2</t>
        </is>
      </c>
      <c r="D9" s="8" t="inlineStr">
        <is>
          <t>Task</t>
        </is>
      </c>
      <c r="E9" s="8" t="inlineStr">
        <is>
          <t>Completed</t>
        </is>
      </c>
      <c r="F9" s="8" t="n">
        <v>3</v>
      </c>
      <c r="G9" s="8" t="n">
        <v>2.5</v>
      </c>
      <c r="H9" s="8" t="n">
        <v>-0.5</v>
      </c>
    </row>
    <row r="10" ht="20" customHeight="1">
      <c r="A10" s="6" t="n">
        <v>575221</v>
      </c>
      <c r="B10" s="7" t="inlineStr">
        <is>
          <t>[RD_DEV] DVPSEC - 通訊: 上載 App Compact Bin, 固化方案版號, Program Checksum</t>
        </is>
      </c>
      <c r="C10" s="6" t="inlineStr">
        <is>
          <t>Designer Rev1.14.0 Sprint3</t>
        </is>
      </c>
      <c r="D10" s="6" t="inlineStr">
        <is>
          <t>Task</t>
        </is>
      </c>
      <c r="E10" s="6" t="inlineStr">
        <is>
          <t>Completed</t>
        </is>
      </c>
      <c r="F10" s="6" t="n">
        <v>4</v>
      </c>
      <c r="G10" s="6" t="n">
        <v>1</v>
      </c>
      <c r="H10" s="6" t="n">
        <v>-3</v>
      </c>
    </row>
    <row r="11" ht="20" customHeight="1">
      <c r="A11" s="8" t="n">
        <v>575219</v>
      </c>
      <c r="B11" s="9" t="inlineStr">
        <is>
          <t>[RD_DEV] DVPSEC - 通訊: 下載 Program Checksum 與 固化方案版號</t>
        </is>
      </c>
      <c r="C11" s="8" t="inlineStr">
        <is>
          <t>Designer Rev1.14.0 Sprint2</t>
        </is>
      </c>
      <c r="D11" s="8" t="inlineStr">
        <is>
          <t>Task</t>
        </is>
      </c>
      <c r="E11" s="8" t="inlineStr">
        <is>
          <t>Completed</t>
        </is>
      </c>
      <c r="F11" s="8" t="n">
        <v>4</v>
      </c>
      <c r="G11" s="8" t="n">
        <v>0.5</v>
      </c>
      <c r="H11" s="8" t="n">
        <v>-3.5</v>
      </c>
    </row>
    <row r="12" ht="20" customHeight="1">
      <c r="A12" s="6" t="n">
        <v>575110</v>
      </c>
      <c r="B12" s="7" t="inlineStr">
        <is>
          <t>[RD_DEV] CANopen 掃描通訊: 提供 Unknown Device 的識別資訊</t>
        </is>
      </c>
      <c r="C12" s="6" t="inlineStr">
        <is>
          <t>Designer Rev1.14.0 Sprint3</t>
        </is>
      </c>
      <c r="D12" s="6" t="inlineStr">
        <is>
          <t>Task</t>
        </is>
      </c>
      <c r="E12" s="6" t="inlineStr">
        <is>
          <t>Completed</t>
        </is>
      </c>
      <c r="F12" s="6" t="n">
        <v>8</v>
      </c>
      <c r="G12" s="6" t="n">
        <v>3</v>
      </c>
      <c r="H12" s="6" t="n">
        <v>-5</v>
      </c>
    </row>
    <row r="13" ht="20" customHeight="1">
      <c r="A13" s="8" t="n">
        <v>574832</v>
      </c>
      <c r="B13" s="9" t="inlineStr">
        <is>
          <t>[RD_DEV] MA500_通訊設定</t>
        </is>
      </c>
      <c r="C13" s="8" t="inlineStr">
        <is>
          <t>Designer Rev1.14.0 Sprint3</t>
        </is>
      </c>
      <c r="D13" s="8" t="inlineStr">
        <is>
          <t>Task</t>
        </is>
      </c>
      <c r="E13" s="8" t="inlineStr">
        <is>
          <t>Completed</t>
        </is>
      </c>
      <c r="F13" s="8" t="n">
        <v>4</v>
      </c>
      <c r="G13" s="8" t="n">
        <v>0.5</v>
      </c>
      <c r="H13" s="8" t="n">
        <v>-3.5</v>
      </c>
    </row>
    <row r="14" ht="20" customHeight="1">
      <c r="A14" s="6" t="n">
        <v>574831</v>
      </c>
      <c r="B14" s="7" t="inlineStr">
        <is>
          <t>[RD_DEV] MA500_變頻精靈</t>
        </is>
      </c>
      <c r="C14" s="6" t="inlineStr">
        <is>
          <t>Designer Rev1.14.0 Sprint3</t>
        </is>
      </c>
      <c r="D14" s="6" t="inlineStr">
        <is>
          <t>Task</t>
        </is>
      </c>
      <c r="E14" s="6" t="inlineStr">
        <is>
          <t>Completed</t>
        </is>
      </c>
      <c r="F14" s="6" t="n">
        <v>4</v>
      </c>
      <c r="G14" s="6" t="n">
        <v>0.5</v>
      </c>
      <c r="H14" s="6" t="n">
        <v>-3.5</v>
      </c>
    </row>
    <row r="15" ht="20" customHeight="1">
      <c r="A15" s="8" t="n">
        <v>574659</v>
      </c>
      <c r="B15" s="9" t="inlineStr">
        <is>
          <t>[RD_DEV] AS332EC - 通訊: 取得 Program Checksum 與 固化方案版號</t>
        </is>
      </c>
      <c r="C15" s="8" t="inlineStr">
        <is>
          <t>Designer Rev1.14.0 Sprint2</t>
        </is>
      </c>
      <c r="D15" s="8" t="inlineStr">
        <is>
          <t>Task</t>
        </is>
      </c>
      <c r="E15" s="8" t="inlineStr">
        <is>
          <t>Completed</t>
        </is>
      </c>
      <c r="F15" s="8" t="n">
        <v>8</v>
      </c>
      <c r="G15" s="8" t="n">
        <v>1.6</v>
      </c>
      <c r="H15" s="8" t="n">
        <v>-6.4</v>
      </c>
    </row>
    <row r="16" ht="20" customHeight="1">
      <c r="A16" s="6" t="n">
        <v>574652</v>
      </c>
      <c r="B16" s="7" t="inlineStr">
        <is>
          <t>[RD_DEV] AS332EC - 通訊: 下載 固化方案版號 與  Program Checksum</t>
        </is>
      </c>
      <c r="C16" s="6" t="inlineStr">
        <is>
          <t>Designer Rev1.14.0 Sprint2</t>
        </is>
      </c>
      <c r="D16" s="6" t="inlineStr">
        <is>
          <t>Task</t>
        </is>
      </c>
      <c r="E16" s="6" t="inlineStr">
        <is>
          <t>Completed</t>
        </is>
      </c>
      <c r="F16" s="6" t="n">
        <v>12</v>
      </c>
      <c r="G16" s="6" t="n">
        <v>6.1</v>
      </c>
      <c r="H16" s="6" t="n">
        <v>-5.9</v>
      </c>
    </row>
    <row r="17" ht="20" customHeight="1">
      <c r="A17" s="8" t="n">
        <v>574651</v>
      </c>
      <c r="B17" s="9" t="inlineStr">
        <is>
          <t>[RD_DEV] AS332EC - 通訊: 上載 App Compact Bin</t>
        </is>
      </c>
      <c r="C17" s="8" t="inlineStr">
        <is>
          <t>Designer Rev1.14.0 Sprint2</t>
        </is>
      </c>
      <c r="D17" s="8" t="inlineStr">
        <is>
          <t>Task</t>
        </is>
      </c>
      <c r="E17" s="8" t="inlineStr">
        <is>
          <t>Completed</t>
        </is>
      </c>
      <c r="F17" s="8" t="n">
        <v>24</v>
      </c>
      <c r="G17" s="8" t="n">
        <v>5.1</v>
      </c>
      <c r="H17" s="8" t="n">
        <v>-18.9</v>
      </c>
    </row>
    <row r="18" ht="20" customHeight="1">
      <c r="A18" s="6" t="n">
        <v>574005</v>
      </c>
      <c r="B18" s="7" t="inlineStr">
        <is>
          <t xml:space="preserve">[RD_DEV] 通訊設定: 驗證 W3A 預設站號為 200
 </t>
        </is>
      </c>
      <c r="C18" s="6" t="inlineStr">
        <is>
          <t>Designer Rev1.14.0 Sprint3</t>
        </is>
      </c>
      <c r="D18" s="6" t="inlineStr">
        <is>
          <t>Task</t>
        </is>
      </c>
      <c r="E18" s="6" t="inlineStr">
        <is>
          <t>Completed</t>
        </is>
      </c>
      <c r="F18" s="6" t="n">
        <v>1</v>
      </c>
      <c r="G18" s="6" t="n">
        <v>0.5</v>
      </c>
      <c r="H18" s="6" t="n">
        <v>-0.5</v>
      </c>
    </row>
    <row r="19" ht="20" customHeight="1">
      <c r="A19" s="8" t="n">
        <v>574003</v>
      </c>
      <c r="B19" s="9" t="inlineStr">
        <is>
          <t xml:space="preserve">[RD_DEV] 通訊設定: 預設站號從 DDF 取得
 </t>
        </is>
      </c>
      <c r="C19" s="8" t="inlineStr">
        <is>
          <t>Designer Rev1.14.0 Sprint3</t>
        </is>
      </c>
      <c r="D19" s="8" t="inlineStr">
        <is>
          <t>Task</t>
        </is>
      </c>
      <c r="E19" s="8" t="inlineStr">
        <is>
          <t>Completed</t>
        </is>
      </c>
      <c r="F19" s="8" t="n">
        <v>24</v>
      </c>
      <c r="G19" s="8" t="n">
        <v>8</v>
      </c>
      <c r="H19" s="8" t="n">
        <v>-16</v>
      </c>
    </row>
    <row r="20" ht="20" customHeight="1">
      <c r="A20" s="6" t="n">
        <v>521989</v>
      </c>
      <c r="B20" s="7" t="inlineStr">
        <is>
          <t>[RD_DEV] DVPSEC - Embedded Corner下載管理員: Post Download</t>
        </is>
      </c>
      <c r="C20" s="6" t="inlineStr">
        <is>
          <t>Designer Rev1.14.0 Sprint3</t>
        </is>
      </c>
      <c r="D20" s="6" t="inlineStr">
        <is>
          <t>Task</t>
        </is>
      </c>
      <c r="E20" s="6" t="inlineStr">
        <is>
          <t>Resolved</t>
        </is>
      </c>
      <c r="F20" s="6" t="n">
        <v>8</v>
      </c>
      <c r="G20" s="6" t="n">
        <v>6.5</v>
      </c>
      <c r="H20" s="6" t="n">
        <v>-1.5</v>
      </c>
    </row>
    <row r="21" ht="20" customHeight="1">
      <c r="A21" s="8" t="n">
        <v>507452</v>
      </c>
      <c r="B21" s="9" t="inlineStr">
        <is>
          <t>[RD_DEV] AS332EC - 通訊: 連線至模擬器</t>
        </is>
      </c>
      <c r="C21" s="8" t="inlineStr">
        <is>
          <t>Designer Rev1.14.0 Sprint3</t>
        </is>
      </c>
      <c r="D21" s="8" t="inlineStr">
        <is>
          <t>Task</t>
        </is>
      </c>
      <c r="E21" s="8" t="inlineStr">
        <is>
          <t>Assigned</t>
        </is>
      </c>
      <c r="F21" s="8" t="n">
        <v>4</v>
      </c>
      <c r="G21" s="8" t="n">
        <v>2</v>
      </c>
      <c r="H21" s="8" t="n">
        <v>-2</v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H2"/>
  </mergeCells>
  <conditionalFormatting sqref="H8:H2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2026-05-31T10:02:11Z</dcterms:created>
  <dcterms:modified xmlns:dcterms="http://purl.org/dc/terms/" xmlns:xsi="http://www.w3.org/2001/XMLSchema-instance" xsi:type="dcterms:W3CDTF">2026-05-31T10:02:12Z</dcterms:modified>
</cp:coreProperties>
</file>