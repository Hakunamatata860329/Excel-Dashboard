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RCHIE" sheetId="3" state="visible" r:id="rId3"/>
    <sheet xmlns:r="http://schemas.openxmlformats.org/officeDocument/2006/relationships" name="BORONG" sheetId="4" state="visible" r:id="rId4"/>
    <sheet xmlns:r="http://schemas.openxmlformats.org/officeDocument/2006/relationships" name="CLONE" sheetId="5" state="visible" r:id="rId5"/>
    <sheet xmlns:r="http://schemas.openxmlformats.org/officeDocument/2006/relationships" name="FRANKNC" sheetId="6" state="visible" r:id="rId6"/>
    <sheet xmlns:r="http://schemas.openxmlformats.org/officeDocument/2006/relationships" name="JANET" sheetId="7" state="visible" r:id="rId7"/>
    <sheet xmlns:r="http://schemas.openxmlformats.org/officeDocument/2006/relationships" name="JEAN" sheetId="8" state="visible" r:id="rId8"/>
    <sheet xmlns:r="http://schemas.openxmlformats.org/officeDocument/2006/relationships" name="JENNY" sheetId="9" state="visible" r:id="rId9"/>
    <sheet xmlns:r="http://schemas.openxmlformats.org/officeDocument/2006/relationships" name="JOHNNY" sheetId="10" state="visible" r:id="rId10"/>
    <sheet xmlns:r="http://schemas.openxmlformats.org/officeDocument/2006/relationships" name="KAKA" sheetId="11" state="visible" r:id="rId11"/>
    <sheet xmlns:r="http://schemas.openxmlformats.org/officeDocument/2006/relationships" name="MILENA" sheetId="12" state="visible" r:id="rId12"/>
    <sheet xmlns:r="http://schemas.openxmlformats.org/officeDocument/2006/relationships" name="NANCY" sheetId="13" state="visible" r:id="rId13"/>
    <sheet xmlns:r="http://schemas.openxmlformats.org/officeDocument/2006/relationships" name="WILLIAM" sheetId="14" state="visible" r:id="rId14"/>
    <sheet xmlns:r="http://schemas.openxmlformats.org/officeDocument/2006/relationships" name="XAVIER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FFFFFF"/>
      <sz val="10"/>
    </font>
    <font>
      <name val="Arial"/>
      <b val="1"/>
      <color rgb="000F4C1F"/>
      <sz val="14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color rgb="00222222"/>
      <sz val="10"/>
    </font>
  </fonts>
  <fills count="7">
    <fill>
      <patternFill/>
    </fill>
    <fill>
      <patternFill patternType="gray125"/>
    </fill>
    <fill>
      <patternFill patternType="solid">
        <fgColor rgb="000F4C1F"/>
      </patternFill>
    </fill>
    <fill>
      <patternFill patternType="solid">
        <fgColor rgb="00116A1E"/>
      </patternFill>
    </fill>
    <fill>
      <patternFill patternType="solid">
        <fgColor rgb="00EAF4E6"/>
      </patternFill>
    </fill>
    <fill>
      <patternFill patternType="solid">
        <fgColor rgb="00FFFFFF"/>
      </patternFill>
    </fill>
    <fill>
      <patternFill patternType="solid">
        <fgColor rgb="00F2F8F0"/>
      </patternFill>
    </fill>
  </fills>
  <borders count="2">
    <border>
      <left/>
      <right/>
      <top/>
      <bottom/>
      <diagonal/>
    </border>
    <border>
      <left style="thin">
        <color rgb="00D0E2CB"/>
      </left>
      <right style="thin">
        <color rgb="00D0E2CB"/>
      </right>
      <top style="thin">
        <color rgb="00D0E2CB"/>
      </top>
      <bottom style="thin">
        <color rgb="00D0E2C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/>
    </xf>
    <xf numFmtId="0" fontId="6" fillId="6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FCCCC"/>
          <bgColor rgb="00FFCCCC"/>
        </patternFill>
      </fill>
    </dxf>
    <dxf>
      <fill>
        <patternFill patternType="solid">
          <fgColor rgb="00CCFFCC"/>
          <bgColor rgb="00CC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 vs TimeSpend by Owner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'_ChartData'!B1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cat>
            <numRef>
              <f>'_ChartData'!$A$2:$A$14</f>
            </numRef>
          </cat>
          <val>
            <numRef>
              <f>'_ChartData'!$B$2:$B$14</f>
            </numRef>
          </val>
        </ser>
        <ser>
          <idx val="1"/>
          <order val="1"/>
          <tx>
            <strRef>
              <f>'_ChartData'!C1</f>
            </strRef>
          </tx>
          <spPr>
            <a:solidFill xmlns:a="http://schemas.openxmlformats.org/drawingml/2006/main">
              <a:srgbClr val="A6D260"/>
            </a:solidFill>
            <a:ln xmlns:a="http://schemas.openxmlformats.org/drawingml/2006/main">
              <a:solidFill>
                <a:srgbClr val="A6D260"/>
              </a:solidFill>
              <a:prstDash val="solid"/>
            </a:ln>
          </spPr>
          <cat>
            <numRef>
              <f>'_ChartData'!$A$2:$A$14</f>
            </numRef>
          </cat>
          <val>
            <numRef>
              <f>'_ChartData'!$C$2:$C$14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Owner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 vs TimeSpend by Sprint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'_ChartData'!F1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cat>
            <numRef>
              <f>'_ChartData'!$E$2:$E$6</f>
            </numRef>
          </cat>
          <val>
            <numRef>
              <f>'_ChartData'!$F$2:$F$6</f>
            </numRef>
          </val>
        </ser>
        <ser>
          <idx val="1"/>
          <order val="1"/>
          <tx>
            <strRef>
              <f>'_ChartData'!G1</f>
            </strRef>
          </tx>
          <spPr>
            <a:solidFill xmlns:a="http://schemas.openxmlformats.org/drawingml/2006/main">
              <a:srgbClr val="A6D260"/>
            </a:solidFill>
            <a:ln xmlns:a="http://schemas.openxmlformats.org/drawingml/2006/main">
              <a:solidFill>
                <a:srgbClr val="A6D260"/>
              </a:solidFill>
              <a:prstDash val="solid"/>
            </a:ln>
          </spPr>
          <cat>
            <numRef>
              <f>'_ChartData'!$E$2:$E$6</f>
            </numRef>
          </cat>
          <val>
            <numRef>
              <f>'_ChartData'!$G$2:$G$6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 vs TimeSpend by Sprint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'_ChartData'!J20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cat>
            <numRef>
              <f>'_ChartData'!$I$21:$I$23</f>
            </numRef>
          </cat>
          <val>
            <numRef>
              <f>'_ChartData'!$J$21:$J$23</f>
            </numRef>
          </val>
        </ser>
        <ser>
          <idx val="1"/>
          <order val="1"/>
          <tx>
            <strRef>
              <f>'_ChartData'!K20</f>
            </strRef>
          </tx>
          <spPr>
            <a:solidFill xmlns:a="http://schemas.openxmlformats.org/drawingml/2006/main">
              <a:srgbClr val="A6D260"/>
            </a:solidFill>
            <a:ln xmlns:a="http://schemas.openxmlformats.org/drawingml/2006/main">
              <a:solidFill>
                <a:srgbClr val="A6D260"/>
              </a:solidFill>
              <a:prstDash val="solid"/>
            </a:ln>
          </spPr>
          <cat>
            <numRef>
              <f>'_ChartData'!$I$21:$I$23</f>
            </numRef>
          </cat>
          <val>
            <numRef>
              <f>'_ChartData'!$K$21:$K$23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 vs TimeSpend by Sprint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'_ChartData'!J25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cat>
            <numRef>
              <f>'_ChartData'!$I$26:$I$25</f>
            </numRef>
          </cat>
          <val>
            <numRef>
              <f>'_ChartData'!$K$25:$J$25</f>
            </numRef>
          </val>
        </ser>
        <ser>
          <idx val="1"/>
          <order val="1"/>
          <tx>
            <strRef>
              <f>'_ChartData'!K25</f>
            </strRef>
          </tx>
          <spPr>
            <a:solidFill xmlns:a="http://schemas.openxmlformats.org/drawingml/2006/main">
              <a:srgbClr val="A6D260"/>
            </a:solidFill>
            <a:ln xmlns:a="http://schemas.openxmlformats.org/drawingml/2006/main">
              <a:solidFill>
                <a:srgbClr val="A6D260"/>
              </a:solidFill>
              <a:prstDash val="solid"/>
            </a:ln>
          </spPr>
          <cat>
            <numRef>
              <f>'_ChartData'!$I$26:$I$25</f>
            </numRef>
          </cat>
          <val>
            <numRef>
              <f>'_ChartData'!$L$25:$K$25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 vs TimeSpend by Sprint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'_ChartData'!J27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cat>
            <numRef>
              <f>'_ChartData'!$I$28:$I$31</f>
            </numRef>
          </cat>
          <val>
            <numRef>
              <f>'_ChartData'!$J$28:$J$31</f>
            </numRef>
          </val>
        </ser>
        <ser>
          <idx val="1"/>
          <order val="1"/>
          <tx>
            <strRef>
              <f>'_ChartData'!K27</f>
            </strRef>
          </tx>
          <spPr>
            <a:solidFill xmlns:a="http://schemas.openxmlformats.org/drawingml/2006/main">
              <a:srgbClr val="A6D260"/>
            </a:solidFill>
            <a:ln xmlns:a="http://schemas.openxmlformats.org/drawingml/2006/main">
              <a:solidFill>
                <a:srgbClr val="A6D260"/>
              </a:solidFill>
              <a:prstDash val="solid"/>
            </a:ln>
          </spPr>
          <cat>
            <numRef>
              <f>'_ChartData'!$I$28:$I$31</f>
            </numRef>
          </cat>
          <val>
            <numRef>
              <f>'_ChartData'!$K$28:$K$31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 vs TimeSpend by Sprint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'_ChartData'!J33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cat>
            <numRef>
              <f>'_ChartData'!$I$34:$I$35</f>
            </numRef>
          </cat>
          <val>
            <numRef>
              <f>'_ChartData'!$J$34:$J$35</f>
            </numRef>
          </val>
        </ser>
        <ser>
          <idx val="1"/>
          <order val="1"/>
          <tx>
            <strRef>
              <f>'_ChartData'!K33</f>
            </strRef>
          </tx>
          <spPr>
            <a:solidFill xmlns:a="http://schemas.openxmlformats.org/drawingml/2006/main">
              <a:srgbClr val="A6D260"/>
            </a:solidFill>
            <a:ln xmlns:a="http://schemas.openxmlformats.org/drawingml/2006/main">
              <a:solidFill>
                <a:srgbClr val="A6D260"/>
              </a:solidFill>
              <a:prstDash val="solid"/>
            </a:ln>
          </spPr>
          <cat>
            <numRef>
              <f>'_ChartData'!$I$34:$I$35</f>
            </numRef>
          </cat>
          <val>
            <numRef>
              <f>'_ChartData'!$K$34:$K$35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 vs TimeSpend by Sprint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'_ChartData'!J37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cat>
            <numRef>
              <f>'_ChartData'!$I$38:$I$41</f>
            </numRef>
          </cat>
          <val>
            <numRef>
              <f>'_ChartData'!$J$38:$J$41</f>
            </numRef>
          </val>
        </ser>
        <ser>
          <idx val="1"/>
          <order val="1"/>
          <tx>
            <strRef>
              <f>'_ChartData'!K37</f>
            </strRef>
          </tx>
          <spPr>
            <a:solidFill xmlns:a="http://schemas.openxmlformats.org/drawingml/2006/main">
              <a:srgbClr val="A6D260"/>
            </a:solidFill>
            <a:ln xmlns:a="http://schemas.openxmlformats.org/drawingml/2006/main">
              <a:solidFill>
                <a:srgbClr val="A6D260"/>
              </a:solidFill>
              <a:prstDash val="solid"/>
            </a:ln>
          </spPr>
          <cat>
            <numRef>
              <f>'_ChartData'!$I$38:$I$41</f>
            </numRef>
          </cat>
          <val>
            <numRef>
              <f>'_ChartData'!$K$38:$K$41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 vs TimeSpend by Sprint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'_ChartData'!J43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cat>
            <numRef>
              <f>'_ChartData'!$I$44:$I$46</f>
            </numRef>
          </cat>
          <val>
            <numRef>
              <f>'_ChartData'!$J$44:$J$46</f>
            </numRef>
          </val>
        </ser>
        <ser>
          <idx val="1"/>
          <order val="1"/>
          <tx>
            <strRef>
              <f>'_ChartData'!K43</f>
            </strRef>
          </tx>
          <spPr>
            <a:solidFill xmlns:a="http://schemas.openxmlformats.org/drawingml/2006/main">
              <a:srgbClr val="A6D260"/>
            </a:solidFill>
            <a:ln xmlns:a="http://schemas.openxmlformats.org/drawingml/2006/main">
              <a:solidFill>
                <a:srgbClr val="A6D260"/>
              </a:solidFill>
              <a:prstDash val="solid"/>
            </a:ln>
          </spPr>
          <cat>
            <numRef>
              <f>'_ChartData'!$I$44:$I$46</f>
            </numRef>
          </cat>
          <val>
            <numRef>
              <f>'_ChartData'!$K$44:$K$46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 vs TimeSpend by Sprint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'_ChartData'!J48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cat>
            <numRef>
              <f>'_ChartData'!$I$49:$I$52</f>
            </numRef>
          </cat>
          <val>
            <numRef>
              <f>'_ChartData'!$J$49:$J$52</f>
            </numRef>
          </val>
        </ser>
        <ser>
          <idx val="1"/>
          <order val="1"/>
          <tx>
            <strRef>
              <f>'_ChartData'!K48</f>
            </strRef>
          </tx>
          <spPr>
            <a:solidFill xmlns:a="http://schemas.openxmlformats.org/drawingml/2006/main">
              <a:srgbClr val="A6D260"/>
            </a:solidFill>
            <a:ln xmlns:a="http://schemas.openxmlformats.org/drawingml/2006/main">
              <a:solidFill>
                <a:srgbClr val="A6D260"/>
              </a:solidFill>
              <a:prstDash val="solid"/>
            </a:ln>
          </spPr>
          <cat>
            <numRef>
              <f>'_ChartData'!$I$49:$I$52</f>
            </numRef>
          </cat>
          <val>
            <numRef>
              <f>'_ChartData'!$K$49:$K$52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 vs TimeSpend by Sprint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'_ChartData'!J54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cat>
            <numRef>
              <f>'_ChartData'!$I$55:$I$59</f>
            </numRef>
          </cat>
          <val>
            <numRef>
              <f>'_ChartData'!$J$55:$J$59</f>
            </numRef>
          </val>
        </ser>
        <ser>
          <idx val="1"/>
          <order val="1"/>
          <tx>
            <strRef>
              <f>'_ChartData'!K54</f>
            </strRef>
          </tx>
          <spPr>
            <a:solidFill xmlns:a="http://schemas.openxmlformats.org/drawingml/2006/main">
              <a:srgbClr val="A6D260"/>
            </a:solidFill>
            <a:ln xmlns:a="http://schemas.openxmlformats.org/drawingml/2006/main">
              <a:solidFill>
                <a:srgbClr val="A6D260"/>
              </a:solidFill>
              <a:prstDash val="solid"/>
            </a:ln>
          </spPr>
          <cat>
            <numRef>
              <f>'_ChartData'!$I$55:$I$59</f>
            </numRef>
          </cat>
          <val>
            <numRef>
              <f>'_ChartData'!$K$55:$K$59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 vs TimeSpend by Sprint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'_ChartData'!J61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cat>
            <numRef>
              <f>'_ChartData'!$I$62:$I$64</f>
            </numRef>
          </cat>
          <val>
            <numRef>
              <f>'_ChartData'!$J$62:$J$64</f>
            </numRef>
          </val>
        </ser>
        <ser>
          <idx val="1"/>
          <order val="1"/>
          <tx>
            <strRef>
              <f>'_ChartData'!K61</f>
            </strRef>
          </tx>
          <spPr>
            <a:solidFill xmlns:a="http://schemas.openxmlformats.org/drawingml/2006/main">
              <a:srgbClr val="A6D260"/>
            </a:solidFill>
            <a:ln xmlns:a="http://schemas.openxmlformats.org/drawingml/2006/main">
              <a:solidFill>
                <a:srgbClr val="A6D260"/>
              </a:solidFill>
              <a:prstDash val="solid"/>
            </a:ln>
          </spPr>
          <cat>
            <numRef>
              <f>'_ChartData'!$I$62:$I$64</f>
            </numRef>
          </cat>
          <val>
            <numRef>
              <f>'_ChartData'!$K$62:$K$64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 vs TimeSpend by Sprint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'_ChartData'!J66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cat>
            <numRef>
              <f>'_ChartData'!$I$67:$I$71</f>
            </numRef>
          </cat>
          <val>
            <numRef>
              <f>'_ChartData'!$J$67:$J$71</f>
            </numRef>
          </val>
        </ser>
        <ser>
          <idx val="1"/>
          <order val="1"/>
          <tx>
            <strRef>
              <f>'_ChartData'!K66</f>
            </strRef>
          </tx>
          <spPr>
            <a:solidFill xmlns:a="http://schemas.openxmlformats.org/drawingml/2006/main">
              <a:srgbClr val="A6D260"/>
            </a:solidFill>
            <a:ln xmlns:a="http://schemas.openxmlformats.org/drawingml/2006/main">
              <a:solidFill>
                <a:srgbClr val="A6D260"/>
              </a:solidFill>
              <a:prstDash val="solid"/>
            </a:ln>
          </spPr>
          <cat>
            <numRef>
              <f>'_ChartData'!$I$67:$I$71</f>
            </numRef>
          </cat>
          <val>
            <numRef>
              <f>'_ChartData'!$K$67:$K$71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 vs TimeSpend by Sprint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'_ChartData'!J73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cat>
            <numRef>
              <f>'_ChartData'!$I$74:$I$76</f>
            </numRef>
          </cat>
          <val>
            <numRef>
              <f>'_ChartData'!$J$74:$J$76</f>
            </numRef>
          </val>
        </ser>
        <ser>
          <idx val="1"/>
          <order val="1"/>
          <tx>
            <strRef>
              <f>'_ChartData'!K73</f>
            </strRef>
          </tx>
          <spPr>
            <a:solidFill xmlns:a="http://schemas.openxmlformats.org/drawingml/2006/main">
              <a:srgbClr val="A6D260"/>
            </a:solidFill>
            <a:ln xmlns:a="http://schemas.openxmlformats.org/drawingml/2006/main">
              <a:solidFill>
                <a:srgbClr val="A6D260"/>
              </a:solidFill>
              <a:prstDash val="solid"/>
            </a:ln>
          </spPr>
          <cat>
            <numRef>
              <f>'_ChartData'!$I$74:$I$76</f>
            </numRef>
          </cat>
          <val>
            <numRef>
              <f>'_ChartData'!$K$74:$K$76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 vs TimeSpend by Sprint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'_ChartData'!J78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cat>
            <numRef>
              <f>'_ChartData'!$I$79:$I$82</f>
            </numRef>
          </cat>
          <val>
            <numRef>
              <f>'_ChartData'!$J$79:$J$82</f>
            </numRef>
          </val>
        </ser>
        <ser>
          <idx val="1"/>
          <order val="1"/>
          <tx>
            <strRef>
              <f>'_ChartData'!K78</f>
            </strRef>
          </tx>
          <spPr>
            <a:solidFill xmlns:a="http://schemas.openxmlformats.org/drawingml/2006/main">
              <a:srgbClr val="A6D260"/>
            </a:solidFill>
            <a:ln xmlns:a="http://schemas.openxmlformats.org/drawingml/2006/main">
              <a:solidFill>
                <a:srgbClr val="A6D260"/>
              </a:solidFill>
              <a:prstDash val="solid"/>
            </a:ln>
          </spPr>
          <cat>
            <numRef>
              <f>'_ChartData'!$I$79:$I$82</f>
            </numRef>
          </cat>
          <val>
            <numRef>
              <f>'_ChartData'!$K$79:$K$82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 vs TimeSpend by Sprint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'_ChartData'!J84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cat>
            <numRef>
              <f>'_ChartData'!$I$85:$I$87</f>
            </numRef>
          </cat>
          <val>
            <numRef>
              <f>'_ChartData'!$J$85:$J$87</f>
            </numRef>
          </val>
        </ser>
        <ser>
          <idx val="1"/>
          <order val="1"/>
          <tx>
            <strRef>
              <f>'_ChartData'!K84</f>
            </strRef>
          </tx>
          <spPr>
            <a:solidFill xmlns:a="http://schemas.openxmlformats.org/drawingml/2006/main">
              <a:srgbClr val="A6D260"/>
            </a:solidFill>
            <a:ln xmlns:a="http://schemas.openxmlformats.org/drawingml/2006/main">
              <a:solidFill>
                <a:srgbClr val="A6D260"/>
              </a:solidFill>
              <a:prstDash val="solid"/>
            </a:ln>
          </spPr>
          <cat>
            <numRef>
              <f>'_ChartData'!$I$85:$I$87</f>
            </numRef>
          </cat>
          <val>
            <numRef>
              <f>'_ChartData'!$K$85:$K$87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864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27</row>
      <rowOff>0</rowOff>
    </from>
    <ext cx="864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9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9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9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9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9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9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9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9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2" customHeight="1">
      <c r="A1" s="1" t="inlineStr">
        <is>
          <t>ESTIMATE DASHBOARD  |  Owner Summary</t>
        </is>
      </c>
    </row>
    <row r="2" ht="22" customHeight="1"/>
    <row r="3" ht="22" customHeight="1"/>
    <row r="4" ht="22" customHeight="1">
      <c r="A4" s="2" t="inlineStr">
        <is>
          <t>Total Estimate</t>
        </is>
      </c>
      <c r="D4" s="2" t="inlineStr">
        <is>
          <t>Total TimeSpend</t>
        </is>
      </c>
      <c r="G4" s="2" t="inlineStr">
        <is>
          <t>Utilization Rate</t>
        </is>
      </c>
      <c r="J4" s="2" t="inlineStr">
        <is>
          <t>Total Tasks</t>
        </is>
      </c>
    </row>
    <row r="5" ht="22" customHeight="1">
      <c r="A5" s="3" t="inlineStr">
        <is>
          <t>1838.5h</t>
        </is>
      </c>
      <c r="D5" s="3" t="inlineStr">
        <is>
          <t>760.0h</t>
        </is>
      </c>
      <c r="G5" s="3" t="inlineStr">
        <is>
          <t>41.3%</t>
        </is>
      </c>
      <c r="J5" s="3" t="inlineStr">
        <is>
          <t>326</t>
        </is>
      </c>
    </row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</sheetData>
  <mergeCells count="1">
    <mergeCell ref="A1:N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Estimate(h)</t>
        </is>
      </c>
      <c r="C1" t="inlineStr">
        <is>
          <t>TimeSpend(h)</t>
        </is>
      </c>
      <c r="E1" t="inlineStr">
        <is>
          <t>Sprint</t>
        </is>
      </c>
      <c r="F1" t="inlineStr">
        <is>
          <t>Estimate(h)</t>
        </is>
      </c>
      <c r="G1" t="inlineStr">
        <is>
          <t>TimeSpend(h)</t>
        </is>
      </c>
    </row>
    <row r="2">
      <c r="A2" t="inlineStr">
        <is>
          <t>ARCHIE</t>
        </is>
      </c>
      <c r="B2" t="n">
        <v>194</v>
      </c>
      <c r="C2" t="n">
        <v>98.59999999999999</v>
      </c>
      <c r="E2" t="inlineStr">
        <is>
          <t>Plan</t>
        </is>
      </c>
      <c r="F2" t="n">
        <v>356</v>
      </c>
      <c r="G2" t="n">
        <v>85.90000000000001</v>
      </c>
    </row>
    <row r="3">
      <c r="A3" t="inlineStr">
        <is>
          <t>BORONG</t>
        </is>
      </c>
      <c r="B3" t="n">
        <v>0</v>
      </c>
      <c r="C3" t="n">
        <v>0</v>
      </c>
      <c r="E3" t="inlineStr">
        <is>
          <t>Sprint1</t>
        </is>
      </c>
      <c r="F3" t="n">
        <v>60</v>
      </c>
      <c r="G3" t="n">
        <v>34</v>
      </c>
    </row>
    <row r="4">
      <c r="A4" t="inlineStr">
        <is>
          <t>CLONE</t>
        </is>
      </c>
      <c r="B4" t="n">
        <v>158</v>
      </c>
      <c r="C4" t="n">
        <v>86</v>
      </c>
      <c r="E4" t="inlineStr">
        <is>
          <t>Sprint2</t>
        </is>
      </c>
      <c r="F4" t="n">
        <v>595</v>
      </c>
      <c r="G4" t="n">
        <v>265.8</v>
      </c>
    </row>
    <row r="5">
      <c r="A5" t="inlineStr">
        <is>
          <t>FRANKNC</t>
        </is>
      </c>
      <c r="B5" t="n">
        <v>45</v>
      </c>
      <c r="C5" t="n">
        <v>6</v>
      </c>
      <c r="E5" t="inlineStr">
        <is>
          <t>Sprint3</t>
        </is>
      </c>
      <c r="F5" t="n">
        <v>459.5</v>
      </c>
      <c r="G5" t="n">
        <v>220.1</v>
      </c>
    </row>
    <row r="6">
      <c r="A6" t="inlineStr">
        <is>
          <t>JANET</t>
        </is>
      </c>
      <c r="B6" t="n">
        <v>74</v>
      </c>
      <c r="C6" t="n">
        <v>64.2</v>
      </c>
      <c r="E6" t="inlineStr">
        <is>
          <t>DIADesigner</t>
        </is>
      </c>
      <c r="F6" t="n">
        <v>368</v>
      </c>
      <c r="G6" t="n">
        <v>154.2</v>
      </c>
    </row>
    <row r="7">
      <c r="A7" t="inlineStr">
        <is>
          <t>JEAN</t>
        </is>
      </c>
      <c r="B7" t="n">
        <v>128</v>
      </c>
      <c r="C7" t="n">
        <v>31.3</v>
      </c>
    </row>
    <row r="8">
      <c r="A8" t="inlineStr">
        <is>
          <t>JENNY</t>
        </is>
      </c>
      <c r="B8" t="n">
        <v>176</v>
      </c>
      <c r="C8" t="n">
        <v>70</v>
      </c>
    </row>
    <row r="9">
      <c r="A9" t="inlineStr">
        <is>
          <t>JOHNNY</t>
        </is>
      </c>
      <c r="B9" t="n">
        <v>308</v>
      </c>
      <c r="C9" t="n">
        <v>4</v>
      </c>
    </row>
    <row r="10">
      <c r="A10" t="inlineStr">
        <is>
          <t>KAKA</t>
        </is>
      </c>
      <c r="B10" t="n">
        <v>60</v>
      </c>
      <c r="C10" t="n">
        <v>6.3</v>
      </c>
    </row>
    <row r="11">
      <c r="A11" t="inlineStr">
        <is>
          <t>MILENA</t>
        </is>
      </c>
      <c r="B11" t="n">
        <v>57</v>
      </c>
      <c r="C11" t="n">
        <v>68.59999999999999</v>
      </c>
    </row>
    <row r="12">
      <c r="A12" t="inlineStr">
        <is>
          <t>NANCY</t>
        </is>
      </c>
      <c r="B12" t="n">
        <v>275.5</v>
      </c>
      <c r="C12" t="n">
        <v>133.1</v>
      </c>
    </row>
    <row r="13">
      <c r="A13" t="inlineStr">
        <is>
          <t>WILLIAM</t>
        </is>
      </c>
      <c r="B13" t="n">
        <v>184</v>
      </c>
      <c r="C13" t="n">
        <v>127.5</v>
      </c>
    </row>
    <row r="14">
      <c r="A14" t="inlineStr">
        <is>
          <t>XAVIERA</t>
        </is>
      </c>
      <c r="B14" t="n">
        <v>179</v>
      </c>
      <c r="C14" t="n">
        <v>64.40000000000001</v>
      </c>
    </row>
    <row r="20">
      <c r="I20" t="inlineStr">
        <is>
          <t>Sprint</t>
        </is>
      </c>
      <c r="J20" t="inlineStr">
        <is>
          <t>Estimate(h)</t>
        </is>
      </c>
      <c r="K20" t="inlineStr">
        <is>
          <t>TimeSpend(h)</t>
        </is>
      </c>
    </row>
    <row r="21">
      <c r="I21" t="inlineStr">
        <is>
          <t>Sprint2</t>
        </is>
      </c>
      <c r="J21" t="n">
        <v>4</v>
      </c>
      <c r="K21" t="n">
        <v>15.8</v>
      </c>
    </row>
    <row r="22">
      <c r="I22" t="inlineStr">
        <is>
          <t>Sprint3</t>
        </is>
      </c>
      <c r="J22" t="n">
        <v>14</v>
      </c>
      <c r="K22" t="n">
        <v>21.9</v>
      </c>
    </row>
    <row r="23">
      <c r="I23" t="inlineStr">
        <is>
          <t>DIADesigner</t>
        </is>
      </c>
      <c r="J23" t="n">
        <v>176</v>
      </c>
      <c r="K23" t="n">
        <v>60.9</v>
      </c>
    </row>
    <row r="25">
      <c r="I25" t="inlineStr">
        <is>
          <t>Sprint</t>
        </is>
      </c>
      <c r="J25" t="inlineStr">
        <is>
          <t>Estimate(h)</t>
        </is>
      </c>
      <c r="K25" t="inlineStr">
        <is>
          <t>TimeSpend(h)</t>
        </is>
      </c>
    </row>
    <row r="27">
      <c r="I27" t="inlineStr">
        <is>
          <t>Sprint</t>
        </is>
      </c>
      <c r="J27" t="inlineStr">
        <is>
          <t>Estimate(h)</t>
        </is>
      </c>
      <c r="K27" t="inlineStr">
        <is>
          <t>TimeSpend(h)</t>
        </is>
      </c>
    </row>
    <row r="28">
      <c r="I28" t="inlineStr">
        <is>
          <t>Plan</t>
        </is>
      </c>
      <c r="J28" t="n">
        <v>97</v>
      </c>
      <c r="K28" t="n">
        <v>40.5</v>
      </c>
    </row>
    <row r="29">
      <c r="I29" t="inlineStr">
        <is>
          <t>Sprint1</t>
        </is>
      </c>
      <c r="J29" t="n">
        <v>16</v>
      </c>
      <c r="K29" t="n">
        <v>4.5</v>
      </c>
    </row>
    <row r="30">
      <c r="I30" t="inlineStr">
        <is>
          <t>Sprint2</t>
        </is>
      </c>
      <c r="J30" t="n">
        <v>34</v>
      </c>
      <c r="K30" t="n">
        <v>29.5</v>
      </c>
    </row>
    <row r="31">
      <c r="I31" t="inlineStr">
        <is>
          <t>Sprint3</t>
        </is>
      </c>
      <c r="J31" t="n">
        <v>11</v>
      </c>
      <c r="K31" t="n">
        <v>11.5</v>
      </c>
    </row>
    <row r="33">
      <c r="I33" t="inlineStr">
        <is>
          <t>Sprint</t>
        </is>
      </c>
      <c r="J33" t="inlineStr">
        <is>
          <t>Estimate(h)</t>
        </is>
      </c>
      <c r="K33" t="inlineStr">
        <is>
          <t>TimeSpend(h)</t>
        </is>
      </c>
    </row>
    <row r="34">
      <c r="I34" t="inlineStr">
        <is>
          <t>Plan</t>
        </is>
      </c>
      <c r="J34" t="n">
        <v>41</v>
      </c>
      <c r="K34" t="n">
        <v>0</v>
      </c>
    </row>
    <row r="35">
      <c r="I35" t="inlineStr">
        <is>
          <t>DIADesigner</t>
        </is>
      </c>
      <c r="J35" t="n">
        <v>4</v>
      </c>
      <c r="K35" t="n">
        <v>6</v>
      </c>
    </row>
    <row r="37">
      <c r="I37" t="inlineStr">
        <is>
          <t>Sprint</t>
        </is>
      </c>
      <c r="J37" t="inlineStr">
        <is>
          <t>Estimate(h)</t>
        </is>
      </c>
      <c r="K37" t="inlineStr">
        <is>
          <t>TimeSpend(h)</t>
        </is>
      </c>
    </row>
    <row r="38">
      <c r="I38" t="inlineStr">
        <is>
          <t>Plan</t>
        </is>
      </c>
      <c r="J38" t="n">
        <v>10</v>
      </c>
      <c r="K38" t="n">
        <v>9.1</v>
      </c>
    </row>
    <row r="39">
      <c r="I39" t="inlineStr">
        <is>
          <t>Sprint1</t>
        </is>
      </c>
      <c r="J39" t="n">
        <v>0</v>
      </c>
      <c r="K39" t="n">
        <v>9.1</v>
      </c>
    </row>
    <row r="40">
      <c r="I40" t="inlineStr">
        <is>
          <t>Sprint2</t>
        </is>
      </c>
      <c r="J40" t="n">
        <v>0</v>
      </c>
      <c r="K40" t="n">
        <v>9.6</v>
      </c>
    </row>
    <row r="41">
      <c r="I41" t="inlineStr">
        <is>
          <t>Sprint3</t>
        </is>
      </c>
      <c r="J41" t="n">
        <v>64</v>
      </c>
      <c r="K41" t="n">
        <v>36.4</v>
      </c>
    </row>
    <row r="43">
      <c r="I43" t="inlineStr">
        <is>
          <t>Sprint</t>
        </is>
      </c>
      <c r="J43" t="inlineStr">
        <is>
          <t>Estimate(h)</t>
        </is>
      </c>
      <c r="K43" t="inlineStr">
        <is>
          <t>TimeSpend(h)</t>
        </is>
      </c>
    </row>
    <row r="44">
      <c r="I44" t="inlineStr">
        <is>
          <t>Sprint1</t>
        </is>
      </c>
      <c r="J44" t="n">
        <v>16</v>
      </c>
      <c r="K44" t="n">
        <v>7.4</v>
      </c>
    </row>
    <row r="45">
      <c r="I45" t="inlineStr">
        <is>
          <t>Sprint2</t>
        </is>
      </c>
      <c r="J45" t="n">
        <v>96</v>
      </c>
      <c r="K45" t="n">
        <v>17.7</v>
      </c>
    </row>
    <row r="46">
      <c r="I46" t="inlineStr">
        <is>
          <t>Sprint3</t>
        </is>
      </c>
      <c r="J46" t="n">
        <v>16</v>
      </c>
      <c r="K46" t="n">
        <v>6.2</v>
      </c>
    </row>
    <row r="48">
      <c r="I48" t="inlineStr">
        <is>
          <t>Sprint</t>
        </is>
      </c>
      <c r="J48" t="inlineStr">
        <is>
          <t>Estimate(h)</t>
        </is>
      </c>
      <c r="K48" t="inlineStr">
        <is>
          <t>TimeSpend(h)</t>
        </is>
      </c>
    </row>
    <row r="49">
      <c r="I49" t="inlineStr">
        <is>
          <t>Plan</t>
        </is>
      </c>
      <c r="J49" t="n">
        <v>64</v>
      </c>
      <c r="K49" t="n">
        <v>18</v>
      </c>
    </row>
    <row r="50">
      <c r="I50" t="inlineStr">
        <is>
          <t>Sprint1</t>
        </is>
      </c>
      <c r="J50" t="n">
        <v>2</v>
      </c>
      <c r="K50" t="n">
        <v>2</v>
      </c>
    </row>
    <row r="51">
      <c r="I51" t="inlineStr">
        <is>
          <t>Sprint2</t>
        </is>
      </c>
      <c r="J51" t="n">
        <v>42</v>
      </c>
      <c r="K51" t="n">
        <v>33</v>
      </c>
    </row>
    <row r="52">
      <c r="I52" t="inlineStr">
        <is>
          <t>Sprint3</t>
        </is>
      </c>
      <c r="J52" t="n">
        <v>68</v>
      </c>
      <c r="K52" t="n">
        <v>17</v>
      </c>
    </row>
    <row r="54">
      <c r="I54" t="inlineStr">
        <is>
          <t>Sprint</t>
        </is>
      </c>
      <c r="J54" t="inlineStr">
        <is>
          <t>Estimate(h)</t>
        </is>
      </c>
      <c r="K54" t="inlineStr">
        <is>
          <t>TimeSpend(h)</t>
        </is>
      </c>
    </row>
    <row r="55">
      <c r="I55" t="inlineStr">
        <is>
          <t>Plan</t>
        </is>
      </c>
      <c r="J55" t="n">
        <v>40</v>
      </c>
      <c r="K55" t="n">
        <v>0</v>
      </c>
    </row>
    <row r="56">
      <c r="I56" t="inlineStr">
        <is>
          <t>Sprint1</t>
        </is>
      </c>
      <c r="J56" t="n">
        <v>24</v>
      </c>
      <c r="K56" t="n">
        <v>0</v>
      </c>
    </row>
    <row r="57">
      <c r="I57" t="inlineStr">
        <is>
          <t>Sprint2</t>
        </is>
      </c>
      <c r="J57" t="n">
        <v>208</v>
      </c>
      <c r="K57" t="n">
        <v>0</v>
      </c>
    </row>
    <row r="58">
      <c r="I58" t="inlineStr">
        <is>
          <t>Sprint3</t>
        </is>
      </c>
      <c r="J58" t="n">
        <v>28</v>
      </c>
      <c r="K58" t="n">
        <v>4</v>
      </c>
    </row>
    <row r="59">
      <c r="I59" t="inlineStr">
        <is>
          <t>DIADesigner</t>
        </is>
      </c>
      <c r="J59" t="n">
        <v>8</v>
      </c>
      <c r="K59" t="n">
        <v>0</v>
      </c>
    </row>
    <row r="61">
      <c r="I61" t="inlineStr">
        <is>
          <t>Sprint</t>
        </is>
      </c>
      <c r="J61" t="inlineStr">
        <is>
          <t>Estimate(h)</t>
        </is>
      </c>
      <c r="K61" t="inlineStr">
        <is>
          <t>TimeSpend(h)</t>
        </is>
      </c>
    </row>
    <row r="62">
      <c r="I62" t="inlineStr">
        <is>
          <t>Plan</t>
        </is>
      </c>
      <c r="J62" t="n">
        <v>56</v>
      </c>
      <c r="K62" t="n">
        <v>1.3</v>
      </c>
    </row>
    <row r="63">
      <c r="I63" t="inlineStr">
        <is>
          <t>Sprint3</t>
        </is>
      </c>
      <c r="J63" t="n">
        <v>0</v>
      </c>
      <c r="K63" t="n">
        <v>5</v>
      </c>
    </row>
    <row r="64">
      <c r="I64" t="inlineStr">
        <is>
          <t>DIADesigner</t>
        </is>
      </c>
      <c r="J64" t="n">
        <v>4</v>
      </c>
      <c r="K64" t="n">
        <v>0</v>
      </c>
    </row>
    <row r="66">
      <c r="I66" t="inlineStr">
        <is>
          <t>Sprint</t>
        </is>
      </c>
      <c r="J66" t="inlineStr">
        <is>
          <t>Estimate(h)</t>
        </is>
      </c>
      <c r="K66" t="inlineStr">
        <is>
          <t>TimeSpend(h)</t>
        </is>
      </c>
    </row>
    <row r="67">
      <c r="I67" t="inlineStr">
        <is>
          <t>Plan</t>
        </is>
      </c>
      <c r="J67" t="n">
        <v>0</v>
      </c>
      <c r="K67" t="n">
        <v>1</v>
      </c>
    </row>
    <row r="68">
      <c r="I68" t="inlineStr">
        <is>
          <t>Sprint1</t>
        </is>
      </c>
      <c r="J68" t="n">
        <v>2</v>
      </c>
      <c r="K68" t="n">
        <v>3</v>
      </c>
    </row>
    <row r="69">
      <c r="I69" t="inlineStr">
        <is>
          <t>Sprint2</t>
        </is>
      </c>
      <c r="J69" t="n">
        <v>16</v>
      </c>
      <c r="K69" t="n">
        <v>28.5</v>
      </c>
    </row>
    <row r="70">
      <c r="I70" t="inlineStr">
        <is>
          <t>Sprint3</t>
        </is>
      </c>
      <c r="J70" t="n">
        <v>32</v>
      </c>
      <c r="K70" t="n">
        <v>7.6</v>
      </c>
    </row>
    <row r="71">
      <c r="I71" t="inlineStr">
        <is>
          <t>DIADesigner</t>
        </is>
      </c>
      <c r="J71" t="n">
        <v>7</v>
      </c>
      <c r="K71" t="n">
        <v>28.5</v>
      </c>
    </row>
    <row r="73">
      <c r="I73" t="inlineStr">
        <is>
          <t>Sprint</t>
        </is>
      </c>
      <c r="J73" t="inlineStr">
        <is>
          <t>Estimate(h)</t>
        </is>
      </c>
      <c r="K73" t="inlineStr">
        <is>
          <t>TimeSpend(h)</t>
        </is>
      </c>
    </row>
    <row r="74">
      <c r="I74" t="inlineStr">
        <is>
          <t>Sprint2</t>
        </is>
      </c>
      <c r="J74" t="n">
        <v>16</v>
      </c>
      <c r="K74" t="n">
        <v>15.8</v>
      </c>
    </row>
    <row r="75">
      <c r="I75" t="inlineStr">
        <is>
          <t>Sprint3</t>
        </is>
      </c>
      <c r="J75" t="n">
        <v>90.5</v>
      </c>
      <c r="K75" t="n">
        <v>58.5</v>
      </c>
    </row>
    <row r="76">
      <c r="I76" t="inlineStr">
        <is>
          <t>DIADesigner</t>
        </is>
      </c>
      <c r="J76" t="n">
        <v>169</v>
      </c>
      <c r="K76" t="n">
        <v>58.8</v>
      </c>
    </row>
    <row r="78">
      <c r="I78" t="inlineStr">
        <is>
          <t>Sprint</t>
        </is>
      </c>
      <c r="J78" t="inlineStr">
        <is>
          <t>Estimate(h)</t>
        </is>
      </c>
      <c r="K78" t="inlineStr">
        <is>
          <t>TimeSpend(h)</t>
        </is>
      </c>
    </row>
    <row r="79">
      <c r="I79" t="inlineStr">
        <is>
          <t>Plan</t>
        </is>
      </c>
      <c r="J79" t="n">
        <v>48</v>
      </c>
      <c r="K79" t="n">
        <v>16</v>
      </c>
    </row>
    <row r="80">
      <c r="I80" t="inlineStr">
        <is>
          <t>Sprint1</t>
        </is>
      </c>
      <c r="J80" t="n">
        <v>0</v>
      </c>
      <c r="K80" t="n">
        <v>2</v>
      </c>
    </row>
    <row r="81">
      <c r="I81" t="inlineStr">
        <is>
          <t>Sprint2</t>
        </is>
      </c>
      <c r="J81" t="n">
        <v>100</v>
      </c>
      <c r="K81" t="n">
        <v>85</v>
      </c>
    </row>
    <row r="82">
      <c r="I82" t="inlineStr">
        <is>
          <t>Sprint3</t>
        </is>
      </c>
      <c r="J82" t="n">
        <v>36</v>
      </c>
      <c r="K82" t="n">
        <v>24.5</v>
      </c>
    </row>
    <row r="84">
      <c r="I84" t="inlineStr">
        <is>
          <t>Sprint</t>
        </is>
      </c>
      <c r="J84" t="inlineStr">
        <is>
          <t>Estimate(h)</t>
        </is>
      </c>
      <c r="K84" t="inlineStr">
        <is>
          <t>TimeSpend(h)</t>
        </is>
      </c>
    </row>
    <row r="85">
      <c r="I85" t="inlineStr">
        <is>
          <t>Sprint1</t>
        </is>
      </c>
      <c r="J85" t="n">
        <v>0</v>
      </c>
      <c r="K85" t="n">
        <v>6</v>
      </c>
    </row>
    <row r="86">
      <c r="I86" t="inlineStr">
        <is>
          <t>Sprint2</t>
        </is>
      </c>
      <c r="J86" t="n">
        <v>79</v>
      </c>
      <c r="K86" t="n">
        <v>30.9</v>
      </c>
    </row>
    <row r="87">
      <c r="I87" t="inlineStr">
        <is>
          <t>Sprint3</t>
        </is>
      </c>
      <c r="J87" t="n">
        <v>100</v>
      </c>
      <c r="K87" t="n">
        <v>27.5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10" customWidth="1" min="4" max="4"/>
    <col width="18" customWidth="1" min="5" max="5"/>
    <col width="13" customWidth="1" min="6" max="6"/>
    <col width="13" customWidth="1" min="7" max="7"/>
    <col width="10" customWidth="1" min="8" max="8"/>
  </cols>
  <sheetData>
    <row r="1" ht="20" customHeight="1">
      <c r="A1" s="4" t="inlineStr">
        <is>
          <t>ARCHIE.YANG 楊浩群</t>
        </is>
      </c>
    </row>
    <row r="2" ht="20" customHeight="1"/>
    <row r="3" ht="20" customHeight="1"/>
    <row r="4" ht="20" customHeight="1">
      <c r="B4" s="2" t="inlineStr">
        <is>
          <t>Estimate(h)</t>
        </is>
      </c>
      <c r="C4" s="2" t="inlineStr">
        <is>
          <t>TimeSpend(h)</t>
        </is>
      </c>
      <c r="D4" s="2" t="inlineStr">
        <is>
          <t>Utilization</t>
        </is>
      </c>
      <c r="E4" s="2" t="inlineStr">
        <is>
          <t>Tasks</t>
        </is>
      </c>
    </row>
    <row r="5" ht="20" customHeight="1">
      <c r="B5" s="3" t="inlineStr">
        <is>
          <t>194.0h</t>
        </is>
      </c>
      <c r="C5" s="3" t="inlineStr">
        <is>
          <t>98.6h</t>
        </is>
      </c>
      <c r="D5" s="3" t="inlineStr">
        <is>
          <t>50.8%</t>
        </is>
      </c>
      <c r="E5" s="3" t="inlineStr">
        <is>
          <t>39</t>
        </is>
      </c>
    </row>
    <row r="6" ht="20" customHeight="1"/>
    <row r="7" ht="24" customHeight="1">
      <c r="A7" s="5" t="inlineStr">
        <is>
          <t>ID</t>
        </is>
      </c>
      <c r="B7" s="5" t="inlineStr">
        <is>
          <t>Summary</t>
        </is>
      </c>
      <c r="C7" s="5" t="inlineStr">
        <is>
          <t>Planned For</t>
        </is>
      </c>
      <c r="D7" s="5" t="inlineStr">
        <is>
          <t>Type</t>
        </is>
      </c>
      <c r="E7" s="5" t="inlineStr">
        <is>
          <t>State</t>
        </is>
      </c>
      <c r="F7" s="5" t="inlineStr">
        <is>
          <t>Estimate(h)</t>
        </is>
      </c>
      <c r="G7" s="5" t="inlineStr">
        <is>
          <t>TimeSpend(h)</t>
        </is>
      </c>
      <c r="H7" s="5" t="inlineStr">
        <is>
          <t>Diff(h)</t>
        </is>
      </c>
    </row>
    <row r="8" ht="20" customHeight="1">
      <c r="A8" s="6" t="n">
        <v>583575</v>
      </c>
      <c r="B8" s="7" t="inlineStr">
        <is>
          <t>[RD_DEV] 新增 DIO 調機 Icon</t>
        </is>
      </c>
      <c r="C8" s="6" t="inlineStr">
        <is>
          <t>Designer Rev1.14.0 Sprint3</t>
        </is>
      </c>
      <c r="D8" s="6" t="inlineStr">
        <is>
          <t>Task</t>
        </is>
      </c>
      <c r="E8" s="6" t="inlineStr">
        <is>
          <t>Completed</t>
        </is>
      </c>
      <c r="F8" s="6" t="n">
        <v>0.5</v>
      </c>
      <c r="G8" s="6" t="n">
        <v>0.1</v>
      </c>
      <c r="H8" s="6" t="n">
        <v>-0.4</v>
      </c>
    </row>
    <row r="9" ht="20" customHeight="1">
      <c r="A9" s="8" t="n">
        <v>583543</v>
      </c>
      <c r="B9" s="9" t="inlineStr">
        <is>
          <t>[RD_DEV] 開啟通訊設定視窗時更新專案樹呈現的裝置連線狀況</t>
        </is>
      </c>
      <c r="C9" s="8" t="inlineStr">
        <is>
          <t>Designer Rev1.14.0 Sprint3</t>
        </is>
      </c>
      <c r="D9" s="8" t="inlineStr">
        <is>
          <t>Task</t>
        </is>
      </c>
      <c r="E9" s="8" t="inlineStr">
        <is>
          <t>Completed</t>
        </is>
      </c>
      <c r="F9" s="8" t="n">
        <v>1</v>
      </c>
      <c r="G9" s="8" t="n">
        <v>0.4</v>
      </c>
      <c r="H9" s="8" t="n">
        <v>-0.6</v>
      </c>
    </row>
    <row r="10" ht="20" customHeight="1">
      <c r="A10" s="6" t="n">
        <v>583532</v>
      </c>
      <c r="B10" s="7" t="inlineStr">
        <is>
          <t>[RD_DEV] 新增不做資料處理的 ModbusProtocolBase，新增可自訂 IConnector 的 Ethernet 設定物件</t>
        </is>
      </c>
      <c r="C10" s="6" t="inlineStr">
        <is>
          <t>Designer Rev1.14.0 Sprint3</t>
        </is>
      </c>
      <c r="D10" s="6" t="inlineStr">
        <is>
          <t>Task</t>
        </is>
      </c>
      <c r="E10" s="6" t="inlineStr">
        <is>
          <t>Completed</t>
        </is>
      </c>
      <c r="F10" s="6" t="n">
        <v>4</v>
      </c>
      <c r="G10" s="6" t="n">
        <v>3.3</v>
      </c>
      <c r="H10" s="6" t="n">
        <v>-0.7</v>
      </c>
    </row>
    <row r="11" ht="20" customHeight="1">
      <c r="A11" s="8" t="n">
        <v>583509</v>
      </c>
      <c r="B11" s="9" t="inlineStr">
        <is>
          <t>[RD_DEV] ETH 通訊設定改用統一的 Element Name 儲存</t>
        </is>
      </c>
      <c r="C11" s="8" t="inlineStr">
        <is>
          <t>Designer Rev1.14.0 Sprint3</t>
        </is>
      </c>
      <c r="D11" s="8" t="inlineStr">
        <is>
          <t>Task</t>
        </is>
      </c>
      <c r="E11" s="8" t="inlineStr">
        <is>
          <t>Completed</t>
        </is>
      </c>
      <c r="F11" s="8" t="n">
        <v>2</v>
      </c>
      <c r="G11" s="8" t="n">
        <v>1.9</v>
      </c>
      <c r="H11" s="8" t="n">
        <v>-0.1</v>
      </c>
    </row>
    <row r="12" ht="20" customHeight="1">
      <c r="A12" s="6" t="n">
        <v>583499</v>
      </c>
      <c r="B12" s="7" t="inlineStr">
        <is>
          <t>[RD_DEV] 調整 ASD Run/Stop 狀態訊息為 Servo On/Off</t>
        </is>
      </c>
      <c r="C12" s="6" t="inlineStr">
        <is>
          <t>Designer Rev1.14.0 Sprint3</t>
        </is>
      </c>
      <c r="D12" s="6" t="inlineStr">
        <is>
          <t>Task</t>
        </is>
      </c>
      <c r="E12" s="6" t="inlineStr">
        <is>
          <t>Completed</t>
        </is>
      </c>
      <c r="F12" s="6" t="n">
        <v>1</v>
      </c>
      <c r="G12" s="6" t="n">
        <v>0.8</v>
      </c>
      <c r="H12" s="6" t="n">
        <v>-0.2</v>
      </c>
    </row>
    <row r="13" ht="20" customHeight="1">
      <c r="A13" s="8" t="n">
        <v>582453</v>
      </c>
      <c r="B13" s="9" t="inlineStr">
        <is>
          <t>[RD_DEV] 修正建立上下載項目的最上層過濾條件</t>
        </is>
      </c>
      <c r="C13" s="8" t="inlineStr">
        <is>
          <t>Rev1.14.0 DIADesigner</t>
        </is>
      </c>
      <c r="D13" s="8" t="inlineStr">
        <is>
          <t>Task</t>
        </is>
      </c>
      <c r="E13" s="8" t="inlineStr">
        <is>
          <t>Completed</t>
        </is>
      </c>
      <c r="F13" s="8" t="n">
        <v>1</v>
      </c>
      <c r="G13" s="8" t="n">
        <v>1.6</v>
      </c>
      <c r="H13" s="8" t="n">
        <v>0.6</v>
      </c>
    </row>
    <row r="14" ht="20" customHeight="1">
      <c r="A14" s="6" t="n">
        <v>582291</v>
      </c>
      <c r="B14" s="7" t="inlineStr">
        <is>
          <t>[RD_DEV] VFD Monitor Table 釋放時需先關閉頁籤再釋放底層物件</t>
        </is>
      </c>
      <c r="C14" s="6" t="inlineStr">
        <is>
          <t>Rev1.14.0 DIADesigner</t>
        </is>
      </c>
      <c r="D14" s="6" t="inlineStr">
        <is>
          <t>Task</t>
        </is>
      </c>
      <c r="E14" s="6" t="inlineStr">
        <is>
          <t>Completed</t>
        </is>
      </c>
      <c r="F14" s="6" t="n">
        <v>1</v>
      </c>
      <c r="G14" s="6" t="n">
        <v>0.8</v>
      </c>
      <c r="H14" s="6" t="n">
        <v>-0.2</v>
      </c>
    </row>
    <row r="15" ht="20" customHeight="1">
      <c r="A15" s="8" t="n">
        <v>582128</v>
      </c>
      <c r="B15" s="9" t="inlineStr">
        <is>
          <t>[RD_DEV] 支援ASD A3-EX功能_DDF Model 新增，Port-X &gt; Item-X 新增 ProtocolType HLLT</t>
        </is>
      </c>
      <c r="C15" s="8" t="inlineStr">
        <is>
          <t>Designer Rev1.14.0 Sprint3</t>
        </is>
      </c>
      <c r="D15" s="8" t="inlineStr">
        <is>
          <t>Task</t>
        </is>
      </c>
      <c r="E15" s="8" t="inlineStr">
        <is>
          <t>Completed</t>
        </is>
      </c>
      <c r="F15" s="8" t="n">
        <v>0.5</v>
      </c>
      <c r="G15" s="8" t="n">
        <v>0.2</v>
      </c>
      <c r="H15" s="8" t="n">
        <v>-0.3</v>
      </c>
    </row>
    <row r="16" ht="20" customHeight="1">
      <c r="A16" s="6" t="n">
        <v>581412</v>
      </c>
      <c r="B16" s="7" t="inlineStr">
        <is>
          <t>[RD_DEV] W3A 下載管理員內資料交換表與參數編輯器項目新增同步邏輯</t>
        </is>
      </c>
      <c r="C16" s="6" t="inlineStr">
        <is>
          <t>Rev1.14.0 DIADesigner</t>
        </is>
      </c>
      <c r="D16" s="6" t="inlineStr">
        <is>
          <t>Task</t>
        </is>
      </c>
      <c r="E16" s="6" t="inlineStr">
        <is>
          <t>Completed</t>
        </is>
      </c>
      <c r="F16" s="6" t="n">
        <v>2</v>
      </c>
      <c r="G16" s="6" t="n">
        <v>1.5</v>
      </c>
      <c r="H16" s="6" t="n">
        <v>-0.5</v>
      </c>
    </row>
    <row r="17" ht="20" customHeight="1">
      <c r="A17" s="8" t="n">
        <v>581137</v>
      </c>
      <c r="B17" s="9" t="inlineStr">
        <is>
          <t>[RD_DEV] PLC 支援取消上載、下載並等待結束</t>
        </is>
      </c>
      <c r="C17" s="8" t="inlineStr">
        <is>
          <t>Designer Rev1.14.0 Sprint3</t>
        </is>
      </c>
      <c r="D17" s="8" t="inlineStr">
        <is>
          <t>Task</t>
        </is>
      </c>
      <c r="E17" s="8" t="inlineStr">
        <is>
          <t>Completed</t>
        </is>
      </c>
      <c r="F17" s="8" t="n">
        <v>0</v>
      </c>
      <c r="G17" s="8" t="n">
        <v>10.7</v>
      </c>
      <c r="H17" s="8" t="n">
        <v>10.7</v>
      </c>
    </row>
    <row r="18" ht="20" customHeight="1">
      <c r="A18" s="6" t="n">
        <v>581118</v>
      </c>
      <c r="B18" s="7" t="inlineStr">
        <is>
          <t>[RD_DEV] W3A 上下載管理員使用模擬器時禁止勾選參數編輯器項目</t>
        </is>
      </c>
      <c r="C18" s="6" t="inlineStr">
        <is>
          <t>Rev1.14.0 DIADesigner</t>
        </is>
      </c>
      <c r="D18" s="6" t="inlineStr">
        <is>
          <t>Task</t>
        </is>
      </c>
      <c r="E18" s="6" t="inlineStr">
        <is>
          <t>Completed</t>
        </is>
      </c>
      <c r="F18" s="6" t="n">
        <v>1</v>
      </c>
      <c r="G18" s="6" t="n">
        <v>0.7</v>
      </c>
      <c r="H18" s="6" t="n">
        <v>-0.3</v>
      </c>
    </row>
    <row r="19" ht="20" customHeight="1">
      <c r="A19" s="8" t="n">
        <v>580409</v>
      </c>
      <c r="B19" s="9" t="inlineStr">
        <is>
          <t>[RD_DEV] VFD CSV, XLSX 參數匯出不把空白的 Unit 輸出成 '#'</t>
        </is>
      </c>
      <c r="C19" s="8" t="inlineStr">
        <is>
          <t>Designer Rev1.14.0 Sprint2</t>
        </is>
      </c>
      <c r="D19" s="8" t="inlineStr">
        <is>
          <t>Task</t>
        </is>
      </c>
      <c r="E19" s="8" t="inlineStr">
        <is>
          <t>Completed</t>
        </is>
      </c>
      <c r="F19" s="8" t="n">
        <v>2</v>
      </c>
      <c r="G19" s="8" t="n">
        <v>1.5</v>
      </c>
      <c r="H19" s="8" t="n">
        <v>-0.5</v>
      </c>
    </row>
    <row r="20" ht="20" customHeight="1">
      <c r="A20" s="6" t="n">
        <v>579941</v>
      </c>
      <c r="B20" s="7" t="inlineStr">
        <is>
          <t xml:space="preserve">[RD_DEV] 修正 DVP Scan 未還原整合 DIO 模組的問題
 </t>
        </is>
      </c>
      <c r="C20" s="6" t="inlineStr">
        <is>
          <t>Rev1.14.0 DIADesigner</t>
        </is>
      </c>
      <c r="D20" s="6" t="inlineStr">
        <is>
          <t>Task</t>
        </is>
      </c>
      <c r="E20" s="6" t="inlineStr">
        <is>
          <t>Completed</t>
        </is>
      </c>
      <c r="F20" s="6" t="n">
        <v>1</v>
      </c>
      <c r="G20" s="6" t="n">
        <v>1</v>
      </c>
      <c r="H20" s="6" t="n">
        <v>0</v>
      </c>
    </row>
    <row r="21" ht="20" customHeight="1">
      <c r="A21" s="8" t="n">
        <v>579812</v>
      </c>
      <c r="B21" s="9" t="inlineStr">
        <is>
          <t>[RD_DEV] DVP 改用 ProdSubseries 判斷還原整合 DIO 模組</t>
        </is>
      </c>
      <c r="C21" s="8" t="inlineStr">
        <is>
          <t>Designer Rev1.14.0 Sprint3</t>
        </is>
      </c>
      <c r="D21" s="8" t="inlineStr">
        <is>
          <t>Task</t>
        </is>
      </c>
      <c r="E21" s="8" t="inlineStr">
        <is>
          <t>Completed</t>
        </is>
      </c>
      <c r="F21" s="8" t="n">
        <v>1</v>
      </c>
      <c r="G21" s="8" t="n">
        <v>1</v>
      </c>
      <c r="H21" s="8" t="n">
        <v>0</v>
      </c>
    </row>
    <row r="22" ht="20" customHeight="1">
      <c r="A22" s="6" t="n">
        <v>579798</v>
      </c>
      <c r="B22" s="7" t="inlineStr">
        <is>
          <t>[RD_DEV] 修正 ASD 在上載管理員消失的問題</t>
        </is>
      </c>
      <c r="C22" s="6" t="inlineStr">
        <is>
          <t>Designer Rev1.14.0 Sprint2</t>
        </is>
      </c>
      <c r="D22" s="6" t="inlineStr">
        <is>
          <t>Task</t>
        </is>
      </c>
      <c r="E22" s="6" t="inlineStr">
        <is>
          <t>Completed</t>
        </is>
      </c>
      <c r="F22" s="6" t="n">
        <v>1</v>
      </c>
      <c r="G22" s="6" t="n">
        <v>1</v>
      </c>
      <c r="H22" s="6" t="n">
        <v>0</v>
      </c>
    </row>
    <row r="23" ht="20" customHeight="1">
      <c r="A23" s="8" t="n">
        <v>579586</v>
      </c>
      <c r="B23" s="9" t="inlineStr">
        <is>
          <t>[RD_DEV] W3A 連線時的驗證結果需保存</t>
        </is>
      </c>
      <c r="C23" s="8" t="inlineStr">
        <is>
          <t>Rev1.14.0 DIADesigner</t>
        </is>
      </c>
      <c r="D23" s="8" t="inlineStr">
        <is>
          <t>Task</t>
        </is>
      </c>
      <c r="E23" s="8" t="inlineStr">
        <is>
          <t>Completed</t>
        </is>
      </c>
      <c r="F23" s="8" t="n">
        <v>0.5</v>
      </c>
      <c r="G23" s="8" t="n">
        <v>0.5</v>
      </c>
      <c r="H23" s="8" t="n">
        <v>0</v>
      </c>
    </row>
    <row r="24" ht="20" customHeight="1">
      <c r="A24" s="6" t="n">
        <v>579528</v>
      </c>
      <c r="B24" s="7" t="inlineStr">
        <is>
          <t>[RD_DEV] 修正上載管理員內加入新裝置時沒有顯示節點</t>
        </is>
      </c>
      <c r="C24" s="6" t="inlineStr">
        <is>
          <t>Designer Rev1.14.0 Sprint2</t>
        </is>
      </c>
      <c r="D24" s="6" t="inlineStr">
        <is>
          <t>Task</t>
        </is>
      </c>
      <c r="E24" s="6" t="inlineStr">
        <is>
          <t>Completed</t>
        </is>
      </c>
      <c r="F24" s="6" t="n">
        <v>1</v>
      </c>
      <c r="G24" s="6" t="n">
        <v>0.5</v>
      </c>
      <c r="H24" s="6" t="n">
        <v>-0.5</v>
      </c>
    </row>
    <row r="25" ht="20" customHeight="1">
      <c r="A25" s="8" t="n">
        <v>579337</v>
      </c>
      <c r="B25" s="9" t="inlineStr">
        <is>
          <t>[RD_DEV] 新增 A3-EP 的 Device ID Code</t>
        </is>
      </c>
      <c r="C25" s="8" t="inlineStr">
        <is>
          <t>Designer Rev1.14.0 Sprint3</t>
        </is>
      </c>
      <c r="D25" s="8" t="inlineStr">
        <is>
          <t>Task</t>
        </is>
      </c>
      <c r="E25" s="8" t="inlineStr">
        <is>
          <t>Completed</t>
        </is>
      </c>
      <c r="F25" s="8" t="n">
        <v>1</v>
      </c>
      <c r="G25" s="8" t="n">
        <v>0.5</v>
      </c>
      <c r="H25" s="8" t="n">
        <v>-0.5</v>
      </c>
    </row>
    <row r="26" ht="20" customHeight="1">
      <c r="A26" s="6" t="n">
        <v>579293</v>
      </c>
      <c r="B26" s="7" t="inlineStr">
        <is>
          <t>[RD_DEV] 更新 SDK Style (DeltaIA.DIAStudio.Asd.*)</t>
        </is>
      </c>
      <c r="C26" s="6" t="inlineStr">
        <is>
          <t>Rev1.14.0 DIADesigner</t>
        </is>
      </c>
      <c r="D26" s="6" t="inlineStr">
        <is>
          <t>Task</t>
        </is>
      </c>
      <c r="E26" s="6" t="inlineStr">
        <is>
          <t>Completed</t>
        </is>
      </c>
      <c r="F26" s="6" t="n">
        <v>1</v>
      </c>
      <c r="G26" s="6" t="n">
        <v>1.5</v>
      </c>
      <c r="H26" s="6" t="n">
        <v>0.5</v>
      </c>
    </row>
    <row r="27" ht="20" customHeight="1">
      <c r="A27" s="8" t="n">
        <v>579026</v>
      </c>
      <c r="B27" s="9" t="inlineStr">
        <is>
          <t>[RD_DEV] 更新 SDK Style (DeltaIA.DIAStudio.Corner.Communication)</t>
        </is>
      </c>
      <c r="C27" s="8" t="inlineStr">
        <is>
          <t>Rev1.14.0 DIADesigner</t>
        </is>
      </c>
      <c r="D27" s="8" t="inlineStr">
        <is>
          <t>Task</t>
        </is>
      </c>
      <c r="E27" s="8" t="inlineStr">
        <is>
          <t>Completed</t>
        </is>
      </c>
      <c r="F27" s="8" t="n">
        <v>0.5</v>
      </c>
      <c r="G27" s="8" t="n">
        <v>0.8</v>
      </c>
      <c r="H27" s="8" t="n">
        <v>0.3</v>
      </c>
    </row>
    <row r="28" ht="20" customHeight="1">
      <c r="A28" s="6" t="n">
        <v>578950</v>
      </c>
      <c r="B28" s="7" t="inlineStr">
        <is>
          <t>[RD_DEV] TC 支援取消上載、下載並等待結束</t>
        </is>
      </c>
      <c r="C28" s="6" t="inlineStr">
        <is>
          <t>Designer Rev1.14.0 Sprint2</t>
        </is>
      </c>
      <c r="D28" s="6" t="inlineStr">
        <is>
          <t>Task</t>
        </is>
      </c>
      <c r="E28" s="6" t="inlineStr">
        <is>
          <t>Completed</t>
        </is>
      </c>
      <c r="F28" s="6" t="n">
        <v>0</v>
      </c>
      <c r="G28" s="6" t="n">
        <v>4.1</v>
      </c>
      <c r="H28" s="6" t="n">
        <v>4.1</v>
      </c>
    </row>
    <row r="29" ht="20" customHeight="1">
      <c r="A29" s="8" t="n">
        <v>578719</v>
      </c>
      <c r="B29" s="9" t="inlineStr">
        <is>
          <t>[RD_DEV] 修正 TC 無法下載的問題 (Check 失敗)</t>
        </is>
      </c>
      <c r="C29" s="8" t="inlineStr">
        <is>
          <t>Rev1.14.0 DIADesigner</t>
        </is>
      </c>
      <c r="D29" s="8" t="inlineStr">
        <is>
          <t>Task</t>
        </is>
      </c>
      <c r="E29" s="8" t="inlineStr">
        <is>
          <t>Completed</t>
        </is>
      </c>
      <c r="F29" s="8" t="n">
        <v>1</v>
      </c>
      <c r="G29" s="8" t="n">
        <v>1</v>
      </c>
      <c r="H29" s="8" t="n">
        <v>0</v>
      </c>
    </row>
    <row r="30" ht="20" customHeight="1">
      <c r="A30" s="6" t="n">
        <v>578701</v>
      </c>
      <c r="B30" s="7" t="inlineStr">
        <is>
          <t>[RD_DEV] ASD/Corner 支援取消上載、下載並等待結束</t>
        </is>
      </c>
      <c r="C30" s="6" t="inlineStr">
        <is>
          <t>Designer Rev1.14.0 Sprint2</t>
        </is>
      </c>
      <c r="D30" s="6" t="inlineStr">
        <is>
          <t>Task</t>
        </is>
      </c>
      <c r="E30" s="6" t="inlineStr">
        <is>
          <t>Completed</t>
        </is>
      </c>
      <c r="F30" s="6" t="n">
        <v>0</v>
      </c>
      <c r="G30" s="6" t="n">
        <v>5.1</v>
      </c>
      <c r="H30" s="6" t="n">
        <v>5.1</v>
      </c>
    </row>
    <row r="31" ht="20" customHeight="1">
      <c r="A31" s="8" t="n">
        <v>578693</v>
      </c>
      <c r="B31" s="9" t="inlineStr">
        <is>
          <t>[RD_DEV] 改善上下載管理員效能 (ASD、VFD 有大量參數節點時)</t>
        </is>
      </c>
      <c r="C31" s="8" t="inlineStr">
        <is>
          <t>Rev1.14.0 DIADesigner</t>
        </is>
      </c>
      <c r="D31" s="8" t="inlineStr">
        <is>
          <t>Task</t>
        </is>
      </c>
      <c r="E31" s="8" t="inlineStr">
        <is>
          <t>Completed</t>
        </is>
      </c>
      <c r="F31" s="8" t="n">
        <v>3</v>
      </c>
      <c r="G31" s="8" t="n">
        <v>5</v>
      </c>
      <c r="H31" s="8" t="n">
        <v>2</v>
      </c>
    </row>
    <row r="32" ht="20" customHeight="1">
      <c r="A32" s="6" t="n">
        <v>577354</v>
      </c>
      <c r="B32" s="7" t="inlineStr">
        <is>
          <t>[RD_DEV] 修正 SetupDiGetClassDevs 回傳值的判斷方式</t>
        </is>
      </c>
      <c r="C32" s="6" t="inlineStr">
        <is>
          <t>Rev1.14.0 DIADesigner</t>
        </is>
      </c>
      <c r="D32" s="6" t="inlineStr">
        <is>
          <t>Task</t>
        </is>
      </c>
      <c r="E32" s="6" t="inlineStr">
        <is>
          <t>Completed</t>
        </is>
      </c>
      <c r="F32" s="6" t="n">
        <v>1</v>
      </c>
      <c r="G32" s="6" t="n">
        <v>0.5</v>
      </c>
      <c r="H32" s="6" t="n">
        <v>-0.5</v>
      </c>
    </row>
    <row r="33" ht="20" customHeight="1">
      <c r="A33" s="8" t="n">
        <v>577139</v>
      </c>
      <c r="B33" s="9" t="inlineStr">
        <is>
          <t>[RD_DEV] 支援無配置時以預設行為初始化 CommgrHelper</t>
        </is>
      </c>
      <c r="C33" s="8" t="inlineStr">
        <is>
          <t>Rev1.14.0 DIADesigner</t>
        </is>
      </c>
      <c r="D33" s="8" t="inlineStr">
        <is>
          <t>Task</t>
        </is>
      </c>
      <c r="E33" s="8" t="inlineStr">
        <is>
          <t>Completed</t>
        </is>
      </c>
      <c r="F33" s="8" t="n">
        <v>1</v>
      </c>
      <c r="G33" s="8" t="n">
        <v>0.7</v>
      </c>
      <c r="H33" s="8" t="n">
        <v>-0.3</v>
      </c>
    </row>
    <row r="34" ht="20" customHeight="1">
      <c r="A34" s="6" t="n">
        <v>577137</v>
      </c>
      <c r="B34" s="7" t="inlineStr">
        <is>
          <t>[RD_DEV] 修正判斷 ASDASoft Process 的邏輯，避免問錯對象，反覆發生例外</t>
        </is>
      </c>
      <c r="C34" s="6" t="inlineStr">
        <is>
          <t>Rev1.14.0 DIADesigner</t>
        </is>
      </c>
      <c r="D34" s="6" t="inlineStr">
        <is>
          <t>Task</t>
        </is>
      </c>
      <c r="E34" s="6" t="inlineStr">
        <is>
          <t>Completed</t>
        </is>
      </c>
      <c r="F34" s="6" t="n">
        <v>1</v>
      </c>
      <c r="G34" s="6" t="n">
        <v>0.7</v>
      </c>
      <c r="H34" s="6" t="n">
        <v>-0.3</v>
      </c>
    </row>
    <row r="35" ht="20" customHeight="1">
      <c r="A35" s="8" t="n">
        <v>577088</v>
      </c>
      <c r="B35" s="9" t="inlineStr">
        <is>
          <t xml:space="preserve">[RD_DEV] W3A 增加 Servo 參數編輯器與上下載項目
 </t>
        </is>
      </c>
      <c r="C35" s="8" t="inlineStr">
        <is>
          <t>Rev1.14.0 DIADesigner</t>
        </is>
      </c>
      <c r="D35" s="8" t="inlineStr">
        <is>
          <t>Task</t>
        </is>
      </c>
      <c r="E35" s="8" t="inlineStr">
        <is>
          <t>Completed</t>
        </is>
      </c>
      <c r="F35" s="8" t="n">
        <v>6</v>
      </c>
      <c r="G35" s="8" t="n">
        <v>8</v>
      </c>
      <c r="H35" s="8" t="n">
        <v>2</v>
      </c>
    </row>
    <row r="36" ht="20" customHeight="1">
      <c r="A36" s="6" t="n">
        <v>576366</v>
      </c>
      <c r="B36" s="7" t="inlineStr">
        <is>
          <t>[RD_DEV] 刪除 ASD 裝置時應正確釋放參數編輯器</t>
        </is>
      </c>
      <c r="C36" s="6" t="inlineStr">
        <is>
          <t>Rev1.14.0 DIADesigner</t>
        </is>
      </c>
      <c r="D36" s="6" t="inlineStr">
        <is>
          <t>Task</t>
        </is>
      </c>
      <c r="E36" s="6" t="inlineStr">
        <is>
          <t>Completed</t>
        </is>
      </c>
      <c r="F36" s="6" t="n">
        <v>2</v>
      </c>
      <c r="G36" s="6" t="n">
        <v>2</v>
      </c>
      <c r="H36" s="6" t="n">
        <v>0</v>
      </c>
    </row>
    <row r="37" ht="20" customHeight="1">
      <c r="A37" s="8" t="n">
        <v>576006</v>
      </c>
      <c r="B37" s="9" t="inlineStr">
        <is>
          <t>[RD_DEV] 調整 MODBUS 接收資料的預設 Delay 為 0</t>
        </is>
      </c>
      <c r="C37" s="8" t="inlineStr">
        <is>
          <t>Rev1.14.0 DIADesigner</t>
        </is>
      </c>
      <c r="D37" s="8" t="inlineStr">
        <is>
          <t>Task</t>
        </is>
      </c>
      <c r="E37" s="8" t="inlineStr">
        <is>
          <t>Completed</t>
        </is>
      </c>
      <c r="F37" s="8" t="n">
        <v>1</v>
      </c>
      <c r="G37" s="8" t="n">
        <v>1.5</v>
      </c>
      <c r="H37" s="8" t="n">
        <v>0.5</v>
      </c>
    </row>
    <row r="38" ht="20" customHeight="1">
      <c r="A38" s="6" t="n">
        <v>575926</v>
      </c>
      <c r="B38" s="7" t="inlineStr">
        <is>
          <t>[RD_DEV] VFD 支援取消上載、下載並等待結束</t>
        </is>
      </c>
      <c r="C38" s="6" t="inlineStr">
        <is>
          <t>Designer Rev1.14.0 Sprint2</t>
        </is>
      </c>
      <c r="D38" s="6" t="inlineStr">
        <is>
          <t>Task</t>
        </is>
      </c>
      <c r="E38" s="6" t="inlineStr">
        <is>
          <t>Completed</t>
        </is>
      </c>
      <c r="F38" s="6" t="n">
        <v>0</v>
      </c>
      <c r="G38" s="6" t="n">
        <v>3.6</v>
      </c>
      <c r="H38" s="6" t="n">
        <v>3.6</v>
      </c>
    </row>
    <row r="39" ht="20" customHeight="1">
      <c r="A39" s="8" t="n">
        <v>573068</v>
      </c>
      <c r="B39" s="9" t="inlineStr">
        <is>
          <t>[RD_DEV] 架構圖更新 (Commission part) - DIADesigner v1.14.0</t>
        </is>
      </c>
      <c r="C39" s="8" t="inlineStr">
        <is>
          <t>Rev1.14.0 DIADesigner</t>
        </is>
      </c>
      <c r="D39" s="8" t="inlineStr">
        <is>
          <t>Task</t>
        </is>
      </c>
      <c r="E39" s="8" t="inlineStr">
        <is>
          <t>Assigned</t>
        </is>
      </c>
      <c r="F39" s="8" t="n">
        <v>0</v>
      </c>
      <c r="G39" s="8" t="n">
        <v>0</v>
      </c>
      <c r="H39" s="8" t="n">
        <v>0</v>
      </c>
    </row>
    <row r="40" ht="20" customHeight="1">
      <c r="A40" s="6" t="n">
        <v>573063</v>
      </c>
      <c r="B40" s="7" t="inlineStr">
        <is>
          <t>[RD_DEV] 架構圖更新 (HW part) - DIADesigner v1.14.0</t>
        </is>
      </c>
      <c r="C40" s="6" t="inlineStr">
        <is>
          <t>Rev1.14.0 DIADesigner</t>
        </is>
      </c>
      <c r="D40" s="6" t="inlineStr">
        <is>
          <t>Task</t>
        </is>
      </c>
      <c r="E40" s="6" t="inlineStr">
        <is>
          <t>Assigned</t>
        </is>
      </c>
      <c r="F40" s="6" t="n">
        <v>0</v>
      </c>
      <c r="G40" s="6" t="n">
        <v>0</v>
      </c>
      <c r="H40" s="6" t="n">
        <v>0</v>
      </c>
    </row>
    <row r="41" ht="20" customHeight="1">
      <c r="A41" s="8" t="n">
        <v>569952</v>
      </c>
      <c r="B41" s="9" t="inlineStr">
        <is>
          <t>[RD_DEV] DVP16SV3 HW存讀檔需容舊型號</t>
        </is>
      </c>
      <c r="C41" s="8" t="inlineStr">
        <is>
          <t>Designer Rev1.14.0 Sprint3</t>
        </is>
      </c>
      <c r="D41" s="8" t="inlineStr">
        <is>
          <t>Task</t>
        </is>
      </c>
      <c r="E41" s="8" t="inlineStr">
        <is>
          <t>Completed</t>
        </is>
      </c>
      <c r="F41" s="8" t="n">
        <v>3</v>
      </c>
      <c r="G41" s="8" t="n">
        <v>3</v>
      </c>
      <c r="H41" s="8" t="n">
        <v>0</v>
      </c>
    </row>
    <row r="42" ht="20" customHeight="1">
      <c r="A42" s="6" t="n">
        <v>527017</v>
      </c>
      <c r="B42" s="7" t="inlineStr">
        <is>
          <t>[RD_DEV][W3A]通訊參數設定-下載通訊相關參數</t>
        </is>
      </c>
      <c r="C42" s="6" t="inlineStr">
        <is>
          <t>Rev1.14.0 DIADesigner</t>
        </is>
      </c>
      <c r="D42" s="6" t="inlineStr">
        <is>
          <t>Task</t>
        </is>
      </c>
      <c r="E42" s="6" t="inlineStr">
        <is>
          <t>Completed</t>
        </is>
      </c>
      <c r="F42" s="6" t="n">
        <v>40</v>
      </c>
      <c r="G42" s="6" t="n">
        <v>19</v>
      </c>
      <c r="H42" s="6" t="n">
        <v>-21</v>
      </c>
    </row>
    <row r="43" ht="20" customHeight="1">
      <c r="A43" s="8" t="n">
        <v>527016</v>
      </c>
      <c r="B43" s="9" t="inlineStr">
        <is>
          <t>[RD_DEV][W3A]通訊參數設定-上載通訊相關參數</t>
        </is>
      </c>
      <c r="C43" s="8" t="inlineStr">
        <is>
          <t>Rev1.14.0 DIADesigner</t>
        </is>
      </c>
      <c r="D43" s="8" t="inlineStr">
        <is>
          <t>Task</t>
        </is>
      </c>
      <c r="E43" s="8" t="inlineStr">
        <is>
          <t>Completed</t>
        </is>
      </c>
      <c r="F43" s="8" t="n">
        <v>40</v>
      </c>
      <c r="G43" s="8" t="n">
        <v>12.1</v>
      </c>
      <c r="H43" s="8" t="n">
        <v>-27.9</v>
      </c>
    </row>
    <row r="44" ht="20" customHeight="1">
      <c r="A44" s="6" t="n">
        <v>505160</v>
      </c>
      <c r="B44" s="7" t="inlineStr">
        <is>
          <t>[RD_DEV] 調整 PLC 主機下載流程，優先下載 CANopen 參數，第一階段</t>
        </is>
      </c>
      <c r="C44" s="6" t="inlineStr">
        <is>
          <t>Rev1.14.0 DIADesigner</t>
        </is>
      </c>
      <c r="D44" s="6" t="inlineStr">
        <is>
          <t>Task</t>
        </is>
      </c>
      <c r="E44" s="6" t="inlineStr">
        <is>
          <t>Assigned</t>
        </is>
      </c>
      <c r="F44" s="6" t="n">
        <v>24</v>
      </c>
      <c r="G44" s="6" t="n">
        <v>0</v>
      </c>
      <c r="H44" s="6" t="n">
        <v>-24</v>
      </c>
    </row>
    <row r="45" ht="20" customHeight="1">
      <c r="A45" s="8" t="n">
        <v>505153</v>
      </c>
      <c r="B45" s="9" t="inlineStr">
        <is>
          <t>[RD_DEV] 從 Model 建立 PLC 參數，優化效能</t>
        </is>
      </c>
      <c r="C45" s="8" t="inlineStr">
        <is>
          <t>Rev1.14.0 DIADesigner</t>
        </is>
      </c>
      <c r="D45" s="8" t="inlineStr">
        <is>
          <t>Task</t>
        </is>
      </c>
      <c r="E45" s="8" t="inlineStr">
        <is>
          <t>Assigned</t>
        </is>
      </c>
      <c r="F45" s="8" t="n">
        <v>24</v>
      </c>
      <c r="G45" s="8" t="n">
        <v>0</v>
      </c>
      <c r="H45" s="8" t="n">
        <v>-24</v>
      </c>
    </row>
    <row r="46" ht="20" customHeight="1">
      <c r="A46" s="6" t="n">
        <v>484525</v>
      </c>
      <c r="B46" s="7" t="inlineStr">
        <is>
          <t>[RD_DEV] ADC客製案_Architecture Design_採用注入方式</t>
        </is>
      </c>
      <c r="C46" s="6" t="inlineStr">
        <is>
          <t>Rev1.14.0 DIADesigner</t>
        </is>
      </c>
      <c r="D46" s="6" t="inlineStr">
        <is>
          <t>Task</t>
        </is>
      </c>
      <c r="E46" s="6" t="inlineStr">
        <is>
          <t>In Progress</t>
        </is>
      </c>
      <c r="F46" s="6" t="n">
        <v>24</v>
      </c>
      <c r="G46" s="6" t="n">
        <v>2</v>
      </c>
      <c r="H46" s="6" t="n">
        <v>-22</v>
      </c>
    </row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</sheetData>
  <mergeCells count="1">
    <mergeCell ref="A1:H2"/>
  </mergeCells>
  <conditionalFormatting sqref="H8:H46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10" customWidth="1" min="4" max="4"/>
    <col width="18" customWidth="1" min="5" max="5"/>
    <col width="13" customWidth="1" min="6" max="6"/>
    <col width="13" customWidth="1" min="7" max="7"/>
    <col width="10" customWidth="1" min="8" max="8"/>
  </cols>
  <sheetData>
    <row r="1" ht="20" customHeight="1">
      <c r="A1" s="4" t="inlineStr">
        <is>
          <t>BORONG.CHEN 陳柏融</t>
        </is>
      </c>
    </row>
    <row r="2" ht="20" customHeight="1"/>
    <row r="3" ht="20" customHeight="1"/>
    <row r="4" ht="20" customHeight="1">
      <c r="B4" s="2" t="inlineStr">
        <is>
          <t>Estimate(h)</t>
        </is>
      </c>
      <c r="C4" s="2" t="inlineStr">
        <is>
          <t>TimeSpend(h)</t>
        </is>
      </c>
      <c r="D4" s="2" t="inlineStr">
        <is>
          <t>Utilization</t>
        </is>
      </c>
      <c r="E4" s="2" t="inlineStr">
        <is>
          <t>Tasks</t>
        </is>
      </c>
    </row>
    <row r="5" ht="20" customHeight="1">
      <c r="B5" s="3" t="inlineStr">
        <is>
          <t>0.0h</t>
        </is>
      </c>
      <c r="C5" s="3" t="inlineStr">
        <is>
          <t>0.0h</t>
        </is>
      </c>
      <c r="D5" s="3" t="inlineStr">
        <is>
          <t>—</t>
        </is>
      </c>
      <c r="E5" s="3" t="inlineStr">
        <is>
          <t>4</t>
        </is>
      </c>
    </row>
    <row r="6" ht="20" customHeight="1"/>
    <row r="7" ht="24" customHeight="1">
      <c r="A7" s="5" t="inlineStr">
        <is>
          <t>ID</t>
        </is>
      </c>
      <c r="B7" s="5" t="inlineStr">
        <is>
          <t>Summary</t>
        </is>
      </c>
      <c r="C7" s="5" t="inlineStr">
        <is>
          <t>Planned For</t>
        </is>
      </c>
      <c r="D7" s="5" t="inlineStr">
        <is>
          <t>Type</t>
        </is>
      </c>
      <c r="E7" s="5" t="inlineStr">
        <is>
          <t>State</t>
        </is>
      </c>
      <c r="F7" s="5" t="inlineStr">
        <is>
          <t>Estimate(h)</t>
        </is>
      </c>
      <c r="G7" s="5" t="inlineStr">
        <is>
          <t>TimeSpend(h)</t>
        </is>
      </c>
      <c r="H7" s="5" t="inlineStr">
        <is>
          <t>Diff(h)</t>
        </is>
      </c>
    </row>
    <row r="8" ht="20" customHeight="1">
      <c r="A8" s="6" t="n">
        <v>582568</v>
      </c>
      <c r="B8" s="7" t="inlineStr">
        <is>
          <t>DIADesigner source code permission application from MDSBU 陳贊宇</t>
        </is>
      </c>
      <c r="C8" s="6" t="inlineStr">
        <is>
          <t>Rev1.14.0 DIADesigner</t>
        </is>
      </c>
      <c r="D8" s="6" t="inlineStr">
        <is>
          <t>Task</t>
        </is>
      </c>
      <c r="E8" s="6" t="inlineStr">
        <is>
          <t>Completed</t>
        </is>
      </c>
      <c r="F8" s="6" t="n">
        <v>0</v>
      </c>
      <c r="G8" s="6" t="n">
        <v>0</v>
      </c>
      <c r="H8" s="6" t="n">
        <v>0</v>
      </c>
    </row>
    <row r="9" ht="20" customHeight="1">
      <c r="A9" s="8" t="n">
        <v>579534</v>
      </c>
      <c r="B9" s="9" t="inlineStr">
        <is>
          <t>DIADesigner source code permission application from MOK</t>
        </is>
      </c>
      <c r="C9" s="8" t="inlineStr">
        <is>
          <t>Rev1.14.0 DIADesigner</t>
        </is>
      </c>
      <c r="D9" s="8" t="inlineStr">
        <is>
          <t>Task</t>
        </is>
      </c>
      <c r="E9" s="8" t="inlineStr">
        <is>
          <t>Completed</t>
        </is>
      </c>
      <c r="F9" s="8" t="n">
        <v>0</v>
      </c>
      <c r="G9" s="8" t="n">
        <v>0</v>
      </c>
      <c r="H9" s="8" t="n">
        <v>0</v>
      </c>
    </row>
    <row r="10" ht="20" customHeight="1">
      <c r="A10" s="6" t="n">
        <v>572578</v>
      </c>
      <c r="B10" s="7" t="inlineStr">
        <is>
          <t>Project Summary: DIADesigner Rev1.14.0</t>
        </is>
      </c>
      <c r="C10" s="6" t="inlineStr">
        <is>
          <t>Rev1.14.0 DIADesigner</t>
        </is>
      </c>
      <c r="D10" s="6" t="inlineStr">
        <is>
          <t>Task</t>
        </is>
      </c>
      <c r="E10" s="6" t="inlineStr">
        <is>
          <t>In Progress</t>
        </is>
      </c>
      <c r="F10" s="6" t="n">
        <v>0</v>
      </c>
      <c r="G10" s="6" t="n">
        <v>0</v>
      </c>
      <c r="H10" s="6" t="n">
        <v>0</v>
      </c>
    </row>
    <row r="11" ht="20" customHeight="1">
      <c r="A11" s="8" t="n">
        <v>546027</v>
      </c>
      <c r="B11" s="9" t="inlineStr">
        <is>
          <t>[RD_DEV] IEC 62443-4-1 合規 (Part1)_DM checklist_Rational - Product Dashboard</t>
        </is>
      </c>
      <c r="C11" s="8" t="inlineStr">
        <is>
          <t>Designer Rev1.14.0 Sprint2</t>
        </is>
      </c>
      <c r="D11" s="8" t="inlineStr">
        <is>
          <t>Task</t>
        </is>
      </c>
      <c r="E11" s="8" t="inlineStr">
        <is>
          <t>Completed</t>
        </is>
      </c>
      <c r="F11" s="8" t="n">
        <v>0</v>
      </c>
      <c r="G11" s="8" t="n">
        <v>0</v>
      </c>
      <c r="H11" s="8" t="n">
        <v>0</v>
      </c>
    </row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</sheetData>
  <mergeCells count="1">
    <mergeCell ref="A1:H2"/>
  </mergeCells>
  <conditionalFormatting sqref="H8:H11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10" customWidth="1" min="4" max="4"/>
    <col width="18" customWidth="1" min="5" max="5"/>
    <col width="13" customWidth="1" min="6" max="6"/>
    <col width="13" customWidth="1" min="7" max="7"/>
    <col width="10" customWidth="1" min="8" max="8"/>
  </cols>
  <sheetData>
    <row r="1" ht="20" customHeight="1">
      <c r="A1" s="4" t="inlineStr">
        <is>
          <t>CLONE.LIN 林俊淵</t>
        </is>
      </c>
    </row>
    <row r="2" ht="20" customHeight="1"/>
    <row r="3" ht="20" customHeight="1"/>
    <row r="4" ht="20" customHeight="1">
      <c r="B4" s="2" t="inlineStr">
        <is>
          <t>Estimate(h)</t>
        </is>
      </c>
      <c r="C4" s="2" t="inlineStr">
        <is>
          <t>TimeSpend(h)</t>
        </is>
      </c>
      <c r="D4" s="2" t="inlineStr">
        <is>
          <t>Utilization</t>
        </is>
      </c>
      <c r="E4" s="2" t="inlineStr">
        <is>
          <t>Tasks</t>
        </is>
      </c>
    </row>
    <row r="5" ht="20" customHeight="1">
      <c r="B5" s="3" t="inlineStr">
        <is>
          <t>158.0h</t>
        </is>
      </c>
      <c r="C5" s="3" t="inlineStr">
        <is>
          <t>86.0h</t>
        </is>
      </c>
      <c r="D5" s="3" t="inlineStr">
        <is>
          <t>54.4%</t>
        </is>
      </c>
      <c r="E5" s="3" t="inlineStr">
        <is>
          <t>28</t>
        </is>
      </c>
    </row>
    <row r="6" ht="20" customHeight="1"/>
    <row r="7" ht="24" customHeight="1">
      <c r="A7" s="5" t="inlineStr">
        <is>
          <t>ID</t>
        </is>
      </c>
      <c r="B7" s="5" t="inlineStr">
        <is>
          <t>Summary</t>
        </is>
      </c>
      <c r="C7" s="5" t="inlineStr">
        <is>
          <t>Planned For</t>
        </is>
      </c>
      <c r="D7" s="5" t="inlineStr">
        <is>
          <t>Type</t>
        </is>
      </c>
      <c r="E7" s="5" t="inlineStr">
        <is>
          <t>State</t>
        </is>
      </c>
      <c r="F7" s="5" t="inlineStr">
        <is>
          <t>Estimate(h)</t>
        </is>
      </c>
      <c r="G7" s="5" t="inlineStr">
        <is>
          <t>TimeSpend(h)</t>
        </is>
      </c>
      <c r="H7" s="5" t="inlineStr">
        <is>
          <t>Diff(h)</t>
        </is>
      </c>
    </row>
    <row r="8" ht="20" customHeight="1">
      <c r="A8" s="6" t="n">
        <v>583940</v>
      </c>
      <c r="B8" s="7" t="inlineStr">
        <is>
          <t>[RD_DEV] 網路視圖在特定操作下刪除總線網路會發生線段殘留現象</t>
        </is>
      </c>
      <c r="C8" s="6" t="inlineStr">
        <is>
          <t>Designer Rev1.14.0 Sprint3</t>
        </is>
      </c>
      <c r="D8" s="6" t="inlineStr">
        <is>
          <t>Task</t>
        </is>
      </c>
      <c r="E8" s="6" t="inlineStr">
        <is>
          <t>Completed</t>
        </is>
      </c>
      <c r="F8" s="6" t="n">
        <v>1</v>
      </c>
      <c r="G8" s="6" t="n">
        <v>1</v>
      </c>
      <c r="H8" s="6" t="n">
        <v>0</v>
      </c>
    </row>
    <row r="9" ht="20" customHeight="1">
      <c r="A9" s="8" t="n">
        <v>580772</v>
      </c>
      <c r="B9" s="9" t="inlineStr">
        <is>
          <t xml:space="preserve">[RD_DEV] AS332EC - NW支援雙網孔
 </t>
        </is>
      </c>
      <c r="C9" s="8" t="inlineStr">
        <is>
          <t>Designer Rev1.14.0 Sprint3</t>
        </is>
      </c>
      <c r="D9" s="8" t="inlineStr">
        <is>
          <t>Task</t>
        </is>
      </c>
      <c r="E9" s="8" t="inlineStr">
        <is>
          <t>Completed</t>
        </is>
      </c>
      <c r="F9" s="8" t="n">
        <v>0</v>
      </c>
      <c r="G9" s="8" t="n">
        <v>4.5</v>
      </c>
      <c r="H9" s="8" t="n">
        <v>4.5</v>
      </c>
    </row>
    <row r="10" ht="20" customHeight="1">
      <c r="A10" s="6" t="n">
        <v>577484</v>
      </c>
      <c r="B10" s="7" t="inlineStr">
        <is>
          <t>[RD_DEV] APF3000_網路視圖 (離線功能)</t>
        </is>
      </c>
      <c r="C10" s="6" t="inlineStr">
        <is>
          <t>Designer Rev1.14.0 Sprint2</t>
        </is>
      </c>
      <c r="D10" s="6" t="inlineStr">
        <is>
          <t>Task</t>
        </is>
      </c>
      <c r="E10" s="6" t="inlineStr">
        <is>
          <t>Completed</t>
        </is>
      </c>
      <c r="F10" s="6" t="n">
        <v>2</v>
      </c>
      <c r="G10" s="6" t="n">
        <v>2.5</v>
      </c>
      <c r="H10" s="6" t="n">
        <v>0.5</v>
      </c>
    </row>
    <row r="11" ht="20" customHeight="1">
      <c r="A11" s="8" t="n">
        <v>577472</v>
      </c>
      <c r="B11" s="9" t="inlineStr">
        <is>
          <t>[RD_DEV] VA3000_網路視圖 (離線功能)</t>
        </is>
      </c>
      <c r="C11" s="8" t="inlineStr">
        <is>
          <t>Designer Rev1.14.0 Sprint2</t>
        </is>
      </c>
      <c r="D11" s="8" t="inlineStr">
        <is>
          <t>Task</t>
        </is>
      </c>
      <c r="E11" s="8" t="inlineStr">
        <is>
          <t>Completed</t>
        </is>
      </c>
      <c r="F11" s="8" t="n">
        <v>0</v>
      </c>
      <c r="G11" s="8" t="n">
        <v>1.5</v>
      </c>
      <c r="H11" s="8" t="n">
        <v>1.5</v>
      </c>
    </row>
    <row r="12" ht="20" customHeight="1">
      <c r="A12" s="6" t="n">
        <v>577069</v>
      </c>
      <c r="B12" s="7" t="inlineStr">
        <is>
          <t>[RD_DEV] (網路配置)网络视图，拖拽链接时，不应该自动修改通讯地址，建议增加跳转可编辑选项</t>
        </is>
      </c>
      <c r="C12" s="6" t="inlineStr">
        <is>
          <t>Designer Rev1.14.0 Sprint2</t>
        </is>
      </c>
      <c r="D12" s="6" t="inlineStr">
        <is>
          <t>Task</t>
        </is>
      </c>
      <c r="E12" s="6" t="inlineStr">
        <is>
          <t>Completed</t>
        </is>
      </c>
      <c r="F12" s="6" t="n">
        <v>16</v>
      </c>
      <c r="G12" s="6" t="n">
        <v>16</v>
      </c>
      <c r="H12" s="6" t="n">
        <v>0</v>
      </c>
    </row>
    <row r="13" ht="20" customHeight="1">
      <c r="A13" s="8" t="n">
        <v>575993</v>
      </c>
      <c r="B13" s="9" t="inlineStr">
        <is>
          <t>(Cyber Security) Regular review process of Main Process</t>
        </is>
      </c>
      <c r="C13" s="8" t="inlineStr">
        <is>
          <t>Designer Rev1.14.0 Sprint3</t>
        </is>
      </c>
      <c r="D13" s="8" t="inlineStr">
        <is>
          <t>Task</t>
        </is>
      </c>
      <c r="E13" s="8" t="inlineStr">
        <is>
          <t>Completed</t>
        </is>
      </c>
      <c r="F13" s="8" t="n">
        <v>1</v>
      </c>
      <c r="G13" s="8" t="n">
        <v>1.5</v>
      </c>
      <c r="H13" s="8" t="n">
        <v>0.5</v>
      </c>
    </row>
    <row r="14" ht="20" customHeight="1">
      <c r="A14" s="6" t="n">
        <v>575864</v>
      </c>
      <c r="B14" s="7" t="inlineStr">
        <is>
          <t>(Cyber Security) Regular review process of General Review Process</t>
        </is>
      </c>
      <c r="C14" s="6" t="inlineStr">
        <is>
          <t>Designer Rev1.14.0 Sprint3</t>
        </is>
      </c>
      <c r="D14" s="6" t="inlineStr">
        <is>
          <t>Task</t>
        </is>
      </c>
      <c r="E14" s="6" t="inlineStr">
        <is>
          <t>Completed</t>
        </is>
      </c>
      <c r="F14" s="6" t="n">
        <v>1</v>
      </c>
      <c r="G14" s="6" t="n">
        <v>1</v>
      </c>
      <c r="H14" s="6" t="n">
        <v>0</v>
      </c>
    </row>
    <row r="15" ht="20" customHeight="1">
      <c r="A15" s="8" t="n">
        <v>574837</v>
      </c>
      <c r="B15" s="9" t="inlineStr">
        <is>
          <t>[RD_DEV] MA500_網路視圖</t>
        </is>
      </c>
      <c r="C15" s="8" t="inlineStr">
        <is>
          <t>Designer Rev1.14.0 Sprint3</t>
        </is>
      </c>
      <c r="D15" s="8" t="inlineStr">
        <is>
          <t>Task</t>
        </is>
      </c>
      <c r="E15" s="8" t="inlineStr">
        <is>
          <t>Completed</t>
        </is>
      </c>
      <c r="F15" s="8" t="n">
        <v>1</v>
      </c>
      <c r="G15" s="8" t="n">
        <v>0</v>
      </c>
      <c r="H15" s="8" t="n">
        <v>-1</v>
      </c>
    </row>
    <row r="16" ht="20" customHeight="1">
      <c r="A16" s="6" t="n">
        <v>574821</v>
      </c>
      <c r="B16" s="7" t="inlineStr">
        <is>
          <t>[RD_DEV] APF3000_網路視圖</t>
        </is>
      </c>
      <c r="C16" s="6" t="inlineStr">
        <is>
          <t>Designer Rev1.14.0 Sprint3</t>
        </is>
      </c>
      <c r="D16" s="6" t="inlineStr">
        <is>
          <t>Task</t>
        </is>
      </c>
      <c r="E16" s="6" t="inlineStr">
        <is>
          <t>Assigned</t>
        </is>
      </c>
      <c r="F16" s="6" t="n">
        <v>0</v>
      </c>
      <c r="G16" s="6" t="n">
        <v>0</v>
      </c>
      <c r="H16" s="6" t="n">
        <v>0</v>
      </c>
    </row>
    <row r="17" ht="20" customHeight="1">
      <c r="A17" s="8" t="n">
        <v>573571</v>
      </c>
      <c r="B17" s="9" t="inlineStr">
        <is>
          <t>[RD_DEV] HMI NW</t>
        </is>
      </c>
      <c r="C17" s="8" t="inlineStr">
        <is>
          <t>Designer Rev1.14.0 Sprint2</t>
        </is>
      </c>
      <c r="D17" s="8" t="inlineStr">
        <is>
          <t>Task</t>
        </is>
      </c>
      <c r="E17" s="8" t="inlineStr">
        <is>
          <t>Completed</t>
        </is>
      </c>
      <c r="F17" s="8" t="n">
        <v>16</v>
      </c>
      <c r="G17" s="8" t="n">
        <v>9.5</v>
      </c>
      <c r="H17" s="8" t="n">
        <v>-6.5</v>
      </c>
    </row>
    <row r="18" ht="20" customHeight="1">
      <c r="A18" s="6" t="n">
        <v>573064</v>
      </c>
      <c r="B18" s="7" t="inlineStr">
        <is>
          <t>[RD_DEV] 架構圖更新 (NW part) - DIADesigner v1.14.0</t>
        </is>
      </c>
      <c r="C18" s="6" t="inlineStr">
        <is>
          <t>Rev1.14.0 DIADesigner</t>
        </is>
      </c>
      <c r="D18" s="6" t="inlineStr">
        <is>
          <t>Task</t>
        </is>
      </c>
      <c r="E18" s="6" t="inlineStr">
        <is>
          <t>Assigned</t>
        </is>
      </c>
      <c r="F18" s="6" t="n">
        <v>0</v>
      </c>
      <c r="G18" s="6" t="n">
        <v>0</v>
      </c>
      <c r="H18" s="6" t="n">
        <v>0</v>
      </c>
    </row>
    <row r="19" ht="20" customHeight="1">
      <c r="A19" s="8" t="n">
        <v>562190</v>
      </c>
      <c r="B19" s="9" t="inlineStr">
        <is>
          <t>[RD_DEV] 若轉換成 AS300 系列，且有配置 CANopen 時，需自動配置 AS-FCOPM 卡</t>
        </is>
      </c>
      <c r="C19" s="8" t="inlineStr">
        <is>
          <t>Designer Rev1.14.0 Plan</t>
        </is>
      </c>
      <c r="D19" s="8" t="inlineStr">
        <is>
          <t>Task</t>
        </is>
      </c>
      <c r="E19" s="8" t="inlineStr">
        <is>
          <t>Assigned</t>
        </is>
      </c>
      <c r="F19" s="8" t="n">
        <v>16</v>
      </c>
      <c r="G19" s="8" t="n">
        <v>0</v>
      </c>
      <c r="H19" s="8" t="n">
        <v>-16</v>
      </c>
    </row>
    <row r="20" ht="20" customHeight="1">
      <c r="A20" s="6" t="n">
        <v>562185</v>
      </c>
      <c r="B20" s="7" t="inlineStr">
        <is>
          <t>[RD_DEV] 通訊參數皆需保留 (Modbus, ModbusTcp, EIP, CANopen)</t>
        </is>
      </c>
      <c r="C20" s="6" t="inlineStr">
        <is>
          <t>Designer Rev1.14.0 Plan</t>
        </is>
      </c>
      <c r="D20" s="6" t="inlineStr">
        <is>
          <t>Task</t>
        </is>
      </c>
      <c r="E20" s="6" t="inlineStr">
        <is>
          <t>Assigned</t>
        </is>
      </c>
      <c r="F20" s="6" t="n">
        <v>16</v>
      </c>
      <c r="G20" s="6" t="n">
        <v>0</v>
      </c>
      <c r="H20" s="6" t="n">
        <v>-16</v>
      </c>
    </row>
    <row r="21" ht="20" customHeight="1">
      <c r="A21" s="8" t="n">
        <v>546040</v>
      </c>
      <c r="B21" s="9" t="inlineStr">
        <is>
          <t>[RD_DEV] IEC 62443-4-1 合規 (Part1)_Conformity of DM-1</t>
        </is>
      </c>
      <c r="C21" s="8" t="inlineStr">
        <is>
          <t>Designer Rev1.14.0 Sprint2</t>
        </is>
      </c>
      <c r="D21" s="8" t="inlineStr">
        <is>
          <t>Task</t>
        </is>
      </c>
      <c r="E21" s="8" t="inlineStr">
        <is>
          <t>Completed</t>
        </is>
      </c>
      <c r="F21" s="8" t="n">
        <v>0</v>
      </c>
      <c r="G21" s="8" t="n">
        <v>0</v>
      </c>
      <c r="H21" s="8" t="n">
        <v>0</v>
      </c>
    </row>
    <row r="22" ht="20" customHeight="1">
      <c r="A22" s="6" t="n">
        <v>546033</v>
      </c>
      <c r="B22" s="7" t="inlineStr">
        <is>
          <t>(Cyber Security) Regular review process of Development Master Record</t>
        </is>
      </c>
      <c r="C22" s="6" t="inlineStr">
        <is>
          <t>Designer Rev1.14.0 Sprint2</t>
        </is>
      </c>
      <c r="D22" s="6" t="inlineStr">
        <is>
          <t>Task</t>
        </is>
      </c>
      <c r="E22" s="6" t="inlineStr">
        <is>
          <t>Completed</t>
        </is>
      </c>
      <c r="F22" s="6" t="n">
        <v>0</v>
      </c>
      <c r="G22" s="6" t="n">
        <v>0</v>
      </c>
      <c r="H22" s="6" t="n">
        <v>0</v>
      </c>
    </row>
    <row r="23" ht="20" customHeight="1">
      <c r="A23" s="8" t="n">
        <v>546032</v>
      </c>
      <c r="B23" s="9" t="inlineStr">
        <is>
          <t>(Cyber Security) Regular review process of SBOM Process</t>
        </is>
      </c>
      <c r="C23" s="8" t="inlineStr">
        <is>
          <t>Designer Rev1.14.0 Sprint2</t>
        </is>
      </c>
      <c r="D23" s="8" t="inlineStr">
        <is>
          <t>Task</t>
        </is>
      </c>
      <c r="E23" s="8" t="inlineStr">
        <is>
          <t>Completed</t>
        </is>
      </c>
      <c r="F23" s="8" t="n">
        <v>0</v>
      </c>
      <c r="G23" s="8" t="n">
        <v>0</v>
      </c>
      <c r="H23" s="8" t="n">
        <v>0</v>
      </c>
    </row>
    <row r="24" ht="20" customHeight="1">
      <c r="A24" s="6" t="n">
        <v>546013</v>
      </c>
      <c r="B24" s="7" t="inlineStr">
        <is>
          <t>[RD_DEV] IEC 62443-4-1 合規 (Part1)_TMRA Report (CSRS)</t>
        </is>
      </c>
      <c r="C24" s="6" t="inlineStr">
        <is>
          <t>Designer Rev1.14.0 Sprint2</t>
        </is>
      </c>
      <c r="D24" s="6" t="inlineStr">
        <is>
          <t>Task</t>
        </is>
      </c>
      <c r="E24" s="6" t="inlineStr">
        <is>
          <t>Completed</t>
        </is>
      </c>
      <c r="F24" s="6" t="n">
        <v>0</v>
      </c>
      <c r="G24" s="6" t="n">
        <v>0</v>
      </c>
      <c r="H24" s="6" t="n">
        <v>0</v>
      </c>
    </row>
    <row r="25" ht="20" customHeight="1">
      <c r="A25" s="8" t="n">
        <v>525119</v>
      </c>
      <c r="B25" s="9" t="inlineStr">
        <is>
          <t>[RD_DEV] AS332EC - 設備主體: 無法執行 PLC EIP Scan 功能</t>
        </is>
      </c>
      <c r="C25" s="8" t="inlineStr">
        <is>
          <t>Designer Rev1.14.0 Sprint3</t>
        </is>
      </c>
      <c r="D25" s="8" t="inlineStr">
        <is>
          <t>Task</t>
        </is>
      </c>
      <c r="E25" s="8" t="inlineStr">
        <is>
          <t>Completed</t>
        </is>
      </c>
      <c r="F25" s="8" t="n">
        <v>1</v>
      </c>
      <c r="G25" s="8" t="n">
        <v>1</v>
      </c>
      <c r="H25" s="8" t="n">
        <v>0</v>
      </c>
    </row>
    <row r="26" ht="20" customHeight="1">
      <c r="A26" s="6" t="n">
        <v>522702</v>
      </c>
      <c r="B26" s="7" t="inlineStr">
        <is>
          <t>[RD_DEV] DVPSEC - Check NW  PC Scan 是否可找到 DVPSEC</t>
        </is>
      </c>
      <c r="C26" s="6" t="inlineStr">
        <is>
          <t>Designer Rev1.14.0 Sprint3</t>
        </is>
      </c>
      <c r="D26" s="6" t="inlineStr">
        <is>
          <t>Task</t>
        </is>
      </c>
      <c r="E26" s="6" t="inlineStr">
        <is>
          <t>Completed</t>
        </is>
      </c>
      <c r="F26" s="6" t="n">
        <v>2</v>
      </c>
      <c r="G26" s="6" t="n">
        <v>2</v>
      </c>
      <c r="H26" s="6" t="n">
        <v>0</v>
      </c>
    </row>
    <row r="27" ht="20" customHeight="1">
      <c r="A27" s="8" t="n">
        <v>522701</v>
      </c>
      <c r="B27" s="9" t="inlineStr">
        <is>
          <t>[RD_DEV] DVPSEC - Check NW 是否可執行PLC EIP Scan功能</t>
        </is>
      </c>
      <c r="C27" s="8" t="inlineStr">
        <is>
          <t>Designer Rev1.14.0 Sprint3</t>
        </is>
      </c>
      <c r="D27" s="8" t="inlineStr">
        <is>
          <t>Task</t>
        </is>
      </c>
      <c r="E27" s="8" t="inlineStr">
        <is>
          <t>Completed</t>
        </is>
      </c>
      <c r="F27" s="8" t="n">
        <v>4</v>
      </c>
      <c r="G27" s="8" t="n">
        <v>0.5</v>
      </c>
      <c r="H27" s="8" t="n">
        <v>-3.5</v>
      </c>
    </row>
    <row r="28" ht="20" customHeight="1">
      <c r="A28" s="6" t="n">
        <v>518208</v>
      </c>
      <c r="B28" s="7" t="inlineStr">
        <is>
          <t>[RD_DEV] 其它-模擬器</t>
        </is>
      </c>
      <c r="C28" s="6" t="inlineStr">
        <is>
          <t>Designer Rev1.14.0 Plan</t>
        </is>
      </c>
      <c r="D28" s="6" t="inlineStr">
        <is>
          <t>Task</t>
        </is>
      </c>
      <c r="E28" s="6" t="inlineStr">
        <is>
          <t>Completed</t>
        </is>
      </c>
      <c r="F28" s="6" t="n">
        <v>1</v>
      </c>
      <c r="G28" s="6" t="n">
        <v>0</v>
      </c>
      <c r="H28" s="6" t="n">
        <v>-1</v>
      </c>
    </row>
    <row r="29" ht="20" customHeight="1">
      <c r="A29" s="8" t="n">
        <v>518202</v>
      </c>
      <c r="B29" s="9" t="inlineStr">
        <is>
          <t>[RD_DEV] IO-Link Device 監控頁面</t>
        </is>
      </c>
      <c r="C29" s="8" t="inlineStr">
        <is>
          <t>Designer Rev1.14.0 Plan</t>
        </is>
      </c>
      <c r="D29" s="8" t="inlineStr">
        <is>
          <t>Task</t>
        </is>
      </c>
      <c r="E29" s="8" t="inlineStr">
        <is>
          <t>Completed</t>
        </is>
      </c>
      <c r="F29" s="8" t="n">
        <v>0</v>
      </c>
      <c r="G29" s="8" t="n">
        <v>0</v>
      </c>
      <c r="H29" s="8" t="n">
        <v>0</v>
      </c>
    </row>
    <row r="30" ht="20" customHeight="1">
      <c r="A30" s="6" t="n">
        <v>518201</v>
      </c>
      <c r="B30" s="7" t="inlineStr">
        <is>
          <t>[RD_DEV] IO-Link Master 監控頁面</t>
        </is>
      </c>
      <c r="C30" s="6" t="inlineStr">
        <is>
          <t>Designer Rev1.14.0 Plan</t>
        </is>
      </c>
      <c r="D30" s="6" t="inlineStr">
        <is>
          <t>Task</t>
        </is>
      </c>
      <c r="E30" s="6" t="inlineStr">
        <is>
          <t>Completed</t>
        </is>
      </c>
      <c r="F30" s="6" t="n">
        <v>16</v>
      </c>
      <c r="G30" s="6" t="n">
        <v>16.5</v>
      </c>
      <c r="H30" s="6" t="n">
        <v>0.5</v>
      </c>
    </row>
    <row r="31" ht="20" customHeight="1">
      <c r="A31" s="8" t="n">
        <v>518200</v>
      </c>
      <c r="B31" s="9" t="inlineStr">
        <is>
          <t>[RD_DEV] IO-Link 監控頁面的主畫面</t>
        </is>
      </c>
      <c r="C31" s="8" t="inlineStr">
        <is>
          <t>Designer Rev1.14.0 Plan</t>
        </is>
      </c>
      <c r="D31" s="8" t="inlineStr">
        <is>
          <t>Task</t>
        </is>
      </c>
      <c r="E31" s="8" t="inlineStr">
        <is>
          <t>Completed</t>
        </is>
      </c>
      <c r="F31" s="8" t="n">
        <v>0</v>
      </c>
      <c r="G31" s="8" t="n">
        <v>0</v>
      </c>
      <c r="H31" s="8" t="n">
        <v>0</v>
      </c>
    </row>
    <row r="32" ht="20" customHeight="1">
      <c r="A32" s="6" t="n">
        <v>518199</v>
      </c>
      <c r="B32" s="7" t="inlineStr">
        <is>
          <t>[RD_DEV] IO-Link 監控頁面</t>
        </is>
      </c>
      <c r="C32" s="6" t="inlineStr">
        <is>
          <t>Designer Rev1.14.0 Plan</t>
        </is>
      </c>
      <c r="D32" s="6" t="inlineStr">
        <is>
          <t>Task</t>
        </is>
      </c>
      <c r="E32" s="6" t="inlineStr">
        <is>
          <t>Completed</t>
        </is>
      </c>
      <c r="F32" s="6" t="n">
        <v>0</v>
      </c>
      <c r="G32" s="6" t="n">
        <v>0</v>
      </c>
      <c r="H32" s="6" t="n">
        <v>0</v>
      </c>
    </row>
    <row r="33" ht="20" customHeight="1">
      <c r="A33" s="8" t="n">
        <v>518196</v>
      </c>
      <c r="B33" s="9" t="inlineStr">
        <is>
          <t>[RD_DEV] IO-Link Master 設定頁面 - Process Data 分頁</t>
        </is>
      </c>
      <c r="C33" s="8" t="inlineStr">
        <is>
          <t>Designer Rev1.14.0 Plan</t>
        </is>
      </c>
      <c r="D33" s="8" t="inlineStr">
        <is>
          <t>Task</t>
        </is>
      </c>
      <c r="E33" s="8" t="inlineStr">
        <is>
          <t>Completed</t>
        </is>
      </c>
      <c r="F33" s="8" t="n">
        <v>32</v>
      </c>
      <c r="G33" s="8" t="n">
        <v>24</v>
      </c>
      <c r="H33" s="8" t="n">
        <v>-8</v>
      </c>
    </row>
    <row r="34" ht="20" customHeight="1">
      <c r="A34" s="6" t="n">
        <v>518186</v>
      </c>
      <c r="B34" s="7" t="inlineStr">
        <is>
          <t>[RD_DEV] 全域工具列-監控 IO-Link 資訊</t>
        </is>
      </c>
      <c r="C34" s="6" t="inlineStr">
        <is>
          <t>Designer Rev1.14.0 Plan</t>
        </is>
      </c>
      <c r="D34" s="6" t="inlineStr">
        <is>
          <t>Task</t>
        </is>
      </c>
      <c r="E34" s="6" t="inlineStr">
        <is>
          <t>Completed</t>
        </is>
      </c>
      <c r="F34" s="6" t="n">
        <v>16</v>
      </c>
      <c r="G34" s="6" t="n">
        <v>0</v>
      </c>
      <c r="H34" s="6" t="n">
        <v>-16</v>
      </c>
    </row>
    <row r="35" ht="20" customHeight="1">
      <c r="A35" s="8" t="n">
        <v>507752</v>
      </c>
      <c r="B35" s="9" t="inlineStr">
        <is>
          <t>[RD_DEV] DIADesigner shall be able to download/upload via the AS-FFTP01 card</t>
        </is>
      </c>
      <c r="C35" s="8" t="inlineStr">
        <is>
          <t>Designer Rev1.14.0 Sprint1</t>
        </is>
      </c>
      <c r="D35" s="8" t="inlineStr">
        <is>
          <t>Task</t>
        </is>
      </c>
      <c r="E35" s="8" t="inlineStr">
        <is>
          <t>Completed</t>
        </is>
      </c>
      <c r="F35" s="8" t="n">
        <v>16</v>
      </c>
      <c r="G35" s="8" t="n">
        <v>4.5</v>
      </c>
      <c r="H35" s="8" t="n">
        <v>-11.5</v>
      </c>
    </row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</sheetData>
  <mergeCells count="1">
    <mergeCell ref="A1:H2"/>
  </mergeCells>
  <conditionalFormatting sqref="H8:H35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10" customWidth="1" min="4" max="4"/>
    <col width="18" customWidth="1" min="5" max="5"/>
    <col width="13" customWidth="1" min="6" max="6"/>
    <col width="13" customWidth="1" min="7" max="7"/>
    <col width="10" customWidth="1" min="8" max="8"/>
  </cols>
  <sheetData>
    <row r="1" ht="20" customHeight="1">
      <c r="A1" s="4" t="inlineStr">
        <is>
          <t>FRANKNC.HO 何南瑾</t>
        </is>
      </c>
    </row>
    <row r="2" ht="20" customHeight="1"/>
    <row r="3" ht="20" customHeight="1"/>
    <row r="4" ht="20" customHeight="1">
      <c r="B4" s="2" t="inlineStr">
        <is>
          <t>Estimate(h)</t>
        </is>
      </c>
      <c r="C4" s="2" t="inlineStr">
        <is>
          <t>TimeSpend(h)</t>
        </is>
      </c>
      <c r="D4" s="2" t="inlineStr">
        <is>
          <t>Utilization</t>
        </is>
      </c>
      <c r="E4" s="2" t="inlineStr">
        <is>
          <t>Tasks</t>
        </is>
      </c>
    </row>
    <row r="5" ht="20" customHeight="1">
      <c r="B5" s="3" t="inlineStr">
        <is>
          <t>45.0h</t>
        </is>
      </c>
      <c r="C5" s="3" t="inlineStr">
        <is>
          <t>6.0h</t>
        </is>
      </c>
      <c r="D5" s="3" t="inlineStr">
        <is>
          <t>13.3%</t>
        </is>
      </c>
      <c r="E5" s="3" t="inlineStr">
        <is>
          <t>11</t>
        </is>
      </c>
    </row>
    <row r="6" ht="20" customHeight="1"/>
    <row r="7" ht="24" customHeight="1">
      <c r="A7" s="5" t="inlineStr">
        <is>
          <t>ID</t>
        </is>
      </c>
      <c r="B7" s="5" t="inlineStr">
        <is>
          <t>Summary</t>
        </is>
      </c>
      <c r="C7" s="5" t="inlineStr">
        <is>
          <t>Planned For</t>
        </is>
      </c>
      <c r="D7" s="5" t="inlineStr">
        <is>
          <t>Type</t>
        </is>
      </c>
      <c r="E7" s="5" t="inlineStr">
        <is>
          <t>State</t>
        </is>
      </c>
      <c r="F7" s="5" t="inlineStr">
        <is>
          <t>Estimate(h)</t>
        </is>
      </c>
      <c r="G7" s="5" t="inlineStr">
        <is>
          <t>TimeSpend(h)</t>
        </is>
      </c>
      <c r="H7" s="5" t="inlineStr">
        <is>
          <t>Diff(h)</t>
        </is>
      </c>
    </row>
    <row r="8" ht="20" customHeight="1">
      <c r="A8" s="6" t="n">
        <v>579119</v>
      </c>
      <c r="B8" s="7" t="inlineStr">
        <is>
          <t>[RD_DEV] 資料交換表顯示連線數</t>
        </is>
      </c>
      <c r="C8" s="6" t="inlineStr">
        <is>
          <t>Rev1.14.0 DIADesigner</t>
        </is>
      </c>
      <c r="D8" s="6" t="inlineStr">
        <is>
          <t>Task</t>
        </is>
      </c>
      <c r="E8" s="6" t="inlineStr">
        <is>
          <t>Completed</t>
        </is>
      </c>
      <c r="F8" s="6" t="n">
        <v>0</v>
      </c>
      <c r="G8" s="6" t="n">
        <v>2</v>
      </c>
      <c r="H8" s="6" t="n">
        <v>2</v>
      </c>
    </row>
    <row r="9" ht="20" customHeight="1">
      <c r="A9" s="8" t="n">
        <v>577622</v>
      </c>
      <c r="B9" s="9" t="inlineStr">
        <is>
          <t>[RD_DEV] DVP16SV3_網路視圖</t>
        </is>
      </c>
      <c r="C9" s="8" t="inlineStr">
        <is>
          <t>Designer Rev1.14.0 Sprint3</t>
        </is>
      </c>
      <c r="D9" s="8" t="inlineStr">
        <is>
          <t>Task</t>
        </is>
      </c>
      <c r="E9" s="8" t="inlineStr">
        <is>
          <t>Assigned</t>
        </is>
      </c>
      <c r="F9" s="8" t="n">
        <v>0</v>
      </c>
      <c r="G9" s="8" t="n">
        <v>0</v>
      </c>
      <c r="H9" s="8" t="n">
        <v>0</v>
      </c>
    </row>
    <row r="10" ht="20" customHeight="1">
      <c r="A10" s="6" t="n">
        <v>576410</v>
      </c>
      <c r="B10" s="7" t="inlineStr">
        <is>
          <t>[RD_DEV]匯出</t>
        </is>
      </c>
      <c r="C10" s="6" t="inlineStr">
        <is>
          <t>Rev1.14.0 DIADesigner</t>
        </is>
      </c>
      <c r="D10" s="6" t="inlineStr">
        <is>
          <t>Task</t>
        </is>
      </c>
      <c r="E10" s="6" t="inlineStr">
        <is>
          <t>Completed</t>
        </is>
      </c>
      <c r="F10" s="6" t="n">
        <v>0</v>
      </c>
      <c r="G10" s="6" t="n">
        <v>0</v>
      </c>
      <c r="H10" s="6" t="n">
        <v>0</v>
      </c>
    </row>
    <row r="11" ht="20" customHeight="1">
      <c r="A11" s="8" t="n">
        <v>576409</v>
      </c>
      <c r="B11" s="9" t="inlineStr">
        <is>
          <t>[RD_DEV]匯入不支援的Modbustcp版本或是不相同的Field Bus要防呆</t>
        </is>
      </c>
      <c r="C11" s="8" t="inlineStr">
        <is>
          <t>Rev1.14.0 DIADesigner</t>
        </is>
      </c>
      <c r="D11" s="8" t="inlineStr">
        <is>
          <t>Task</t>
        </is>
      </c>
      <c r="E11" s="8" t="inlineStr">
        <is>
          <t>Completed</t>
        </is>
      </c>
      <c r="F11" s="8" t="n">
        <v>4</v>
      </c>
      <c r="G11" s="8" t="n">
        <v>4</v>
      </c>
      <c r="H11" s="8" t="n">
        <v>0</v>
      </c>
    </row>
    <row r="12" ht="20" customHeight="1">
      <c r="A12" s="6" t="n">
        <v>575138</v>
      </c>
      <c r="B12" s="7" t="inlineStr">
        <is>
          <t>[RD_DEV]匯入</t>
        </is>
      </c>
      <c r="C12" s="6" t="inlineStr">
        <is>
          <t>Rev1.14.0 DIADesigner</t>
        </is>
      </c>
      <c r="D12" s="6" t="inlineStr">
        <is>
          <t>Task</t>
        </is>
      </c>
      <c r="E12" s="6" t="inlineStr">
        <is>
          <t>Completed</t>
        </is>
      </c>
      <c r="F12" s="6" t="n">
        <v>0</v>
      </c>
      <c r="G12" s="6" t="n">
        <v>0</v>
      </c>
      <c r="H12" s="6" t="n">
        <v>0</v>
      </c>
    </row>
    <row r="13" ht="20" customHeight="1">
      <c r="A13" s="8" t="n">
        <v>575111</v>
      </c>
      <c r="B13" s="9" t="inlineStr">
        <is>
          <t>[RD_DEV] CANopen 掃描結果: Unknwon Device 呈現於掃描結果列表</t>
        </is>
      </c>
      <c r="C13" s="8" t="inlineStr">
        <is>
          <t>Designer Rev1.14.0 Sprint3</t>
        </is>
      </c>
      <c r="D13" s="8" t="inlineStr">
        <is>
          <t>Task</t>
        </is>
      </c>
      <c r="E13" s="8" t="inlineStr">
        <is>
          <t>Completed</t>
        </is>
      </c>
      <c r="F13" s="8" t="n">
        <v>0</v>
      </c>
      <c r="G13" s="8" t="n">
        <v>0</v>
      </c>
      <c r="H13" s="8" t="n">
        <v>0</v>
      </c>
    </row>
    <row r="14" ht="20" customHeight="1">
      <c r="A14" s="6" t="n">
        <v>562187</v>
      </c>
      <c r="B14" s="7" t="inlineStr">
        <is>
          <t>[RD_DEV] 資料交換表的從站裝置支援上限檢查 (EIP, CANopen)</t>
        </is>
      </c>
      <c r="C14" s="6" t="inlineStr">
        <is>
          <t>Designer Rev1.14.0 Plan</t>
        </is>
      </c>
      <c r="D14" s="6" t="inlineStr">
        <is>
          <t>Task</t>
        </is>
      </c>
      <c r="E14" s="6" t="inlineStr">
        <is>
          <t>Assigned</t>
        </is>
      </c>
      <c r="F14" s="6" t="n">
        <v>0</v>
      </c>
      <c r="G14" s="6" t="n">
        <v>0</v>
      </c>
      <c r="H14" s="6" t="n">
        <v>0</v>
      </c>
    </row>
    <row r="15" ht="20" customHeight="1">
      <c r="A15" s="8" t="n">
        <v>562186</v>
      </c>
      <c r="B15" s="9" t="inlineStr">
        <is>
          <t>[RD_DEV] 資料交換表的主站暫存器支援範圍檢查 (Modbus, ModbusTcp, EIP, CANopen)</t>
        </is>
      </c>
      <c r="C15" s="8" t="inlineStr">
        <is>
          <t>Designer Rev1.14.0 Plan</t>
        </is>
      </c>
      <c r="D15" s="8" t="inlineStr">
        <is>
          <t>Task</t>
        </is>
      </c>
      <c r="E15" s="8" t="inlineStr">
        <is>
          <t>Assigned</t>
        </is>
      </c>
      <c r="F15" s="8" t="n">
        <v>0</v>
      </c>
      <c r="G15" s="8" t="n">
        <v>0</v>
      </c>
      <c r="H15" s="8" t="n">
        <v>0</v>
      </c>
    </row>
    <row r="16" ht="20" customHeight="1">
      <c r="A16" s="6" t="n">
        <v>518204</v>
      </c>
      <c r="B16" s="7" t="inlineStr">
        <is>
          <t>[RD_DEV] 符號表-IO-Link Tag Table</t>
        </is>
      </c>
      <c r="C16" s="6" t="inlineStr">
        <is>
          <t>Designer Rev1.14.0 Plan</t>
        </is>
      </c>
      <c r="D16" s="6" t="inlineStr">
        <is>
          <t>Task</t>
        </is>
      </c>
      <c r="E16" s="6" t="inlineStr">
        <is>
          <t>Completed</t>
        </is>
      </c>
      <c r="F16" s="6" t="n">
        <v>1</v>
      </c>
      <c r="G16" s="6" t="n">
        <v>0</v>
      </c>
      <c r="H16" s="6" t="n">
        <v>-1</v>
      </c>
    </row>
    <row r="17" ht="20" customHeight="1">
      <c r="A17" s="8" t="n">
        <v>518203</v>
      </c>
      <c r="B17" s="9" t="inlineStr">
        <is>
          <t>[RD_DEV] 符號表-IO-Link I/O Mapping</t>
        </is>
      </c>
      <c r="C17" s="8" t="inlineStr">
        <is>
          <t>Designer Rev1.14.0 Plan</t>
        </is>
      </c>
      <c r="D17" s="8" t="inlineStr">
        <is>
          <t>Task</t>
        </is>
      </c>
      <c r="E17" s="8" t="inlineStr">
        <is>
          <t>Rejected</t>
        </is>
      </c>
      <c r="F17" s="8" t="n">
        <v>40</v>
      </c>
      <c r="G17" s="8" t="n">
        <v>0</v>
      </c>
      <c r="H17" s="8" t="n">
        <v>-40</v>
      </c>
    </row>
    <row r="18" ht="20" customHeight="1">
      <c r="A18" s="6" t="n">
        <v>518198</v>
      </c>
      <c r="B18" s="7" t="inlineStr">
        <is>
          <t>[RD_DEV] IO-Link Device 設定頁面 - Process Data 分頁</t>
        </is>
      </c>
      <c r="C18" s="6" t="inlineStr">
        <is>
          <t>Designer Rev1.14.0 Plan</t>
        </is>
      </c>
      <c r="D18" s="6" t="inlineStr">
        <is>
          <t>Task</t>
        </is>
      </c>
      <c r="E18" s="6" t="inlineStr">
        <is>
          <t>Completed</t>
        </is>
      </c>
      <c r="F18" s="6" t="n">
        <v>0</v>
      </c>
      <c r="G18" s="6" t="n">
        <v>0</v>
      </c>
      <c r="H18" s="6" t="n">
        <v>0</v>
      </c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</sheetData>
  <mergeCells count="1">
    <mergeCell ref="A1:H2"/>
  </mergeCells>
  <conditionalFormatting sqref="H8:H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10" customWidth="1" min="4" max="4"/>
    <col width="18" customWidth="1" min="5" max="5"/>
    <col width="13" customWidth="1" min="6" max="6"/>
    <col width="13" customWidth="1" min="7" max="7"/>
    <col width="10" customWidth="1" min="8" max="8"/>
  </cols>
  <sheetData>
    <row r="1" ht="20" customHeight="1">
      <c r="A1" s="4" t="inlineStr">
        <is>
          <t>JANET.JC.CHEN 陳美蓁</t>
        </is>
      </c>
    </row>
    <row r="2" ht="20" customHeight="1"/>
    <row r="3" ht="20" customHeight="1"/>
    <row r="4" ht="20" customHeight="1">
      <c r="B4" s="2" t="inlineStr">
        <is>
          <t>Estimate(h)</t>
        </is>
      </c>
      <c r="C4" s="2" t="inlineStr">
        <is>
          <t>TimeSpend(h)</t>
        </is>
      </c>
      <c r="D4" s="2" t="inlineStr">
        <is>
          <t>Utilization</t>
        </is>
      </c>
      <c r="E4" s="2" t="inlineStr">
        <is>
          <t>Tasks</t>
        </is>
      </c>
    </row>
    <row r="5" ht="20" customHeight="1">
      <c r="B5" s="3" t="inlineStr">
        <is>
          <t>74.0h</t>
        </is>
      </c>
      <c r="C5" s="3" t="inlineStr">
        <is>
          <t>64.2h</t>
        </is>
      </c>
      <c r="D5" s="3" t="inlineStr">
        <is>
          <t>86.8%</t>
        </is>
      </c>
      <c r="E5" s="3" t="inlineStr">
        <is>
          <t>25</t>
        </is>
      </c>
    </row>
    <row r="6" ht="20" customHeight="1"/>
    <row r="7" ht="24" customHeight="1">
      <c r="A7" s="5" t="inlineStr">
        <is>
          <t>ID</t>
        </is>
      </c>
      <c r="B7" s="5" t="inlineStr">
        <is>
          <t>Summary</t>
        </is>
      </c>
      <c r="C7" s="5" t="inlineStr">
        <is>
          <t>Planned For</t>
        </is>
      </c>
      <c r="D7" s="5" t="inlineStr">
        <is>
          <t>Type</t>
        </is>
      </c>
      <c r="E7" s="5" t="inlineStr">
        <is>
          <t>State</t>
        </is>
      </c>
      <c r="F7" s="5" t="inlineStr">
        <is>
          <t>Estimate(h)</t>
        </is>
      </c>
      <c r="G7" s="5" t="inlineStr">
        <is>
          <t>TimeSpend(h)</t>
        </is>
      </c>
      <c r="H7" s="5" t="inlineStr">
        <is>
          <t>Diff(h)</t>
        </is>
      </c>
    </row>
    <row r="8" ht="20" customHeight="1">
      <c r="A8" s="6" t="n">
        <v>583872</v>
      </c>
      <c r="B8" s="7" t="inlineStr">
        <is>
          <t>[RD_DEV](上下載管理員)加入HMI裝置後，上下載管理員無法開啟&amp;開始傳輸按鈕邏輯修正</t>
        </is>
      </c>
      <c r="C8" s="6" t="inlineStr">
        <is>
          <t>Designer Rev1.14.0 Sprint3</t>
        </is>
      </c>
      <c r="D8" s="6" t="inlineStr">
        <is>
          <t>Task</t>
        </is>
      </c>
      <c r="E8" s="6" t="inlineStr">
        <is>
          <t>Resolved</t>
        </is>
      </c>
      <c r="F8" s="6" t="n">
        <v>0</v>
      </c>
      <c r="G8" s="6" t="n">
        <v>0</v>
      </c>
      <c r="H8" s="6" t="n">
        <v>0</v>
      </c>
    </row>
    <row r="9" ht="20" customHeight="1">
      <c r="A9" s="8" t="n">
        <v>583294</v>
      </c>
      <c r="B9" s="9" t="inlineStr">
        <is>
          <t>[RD_DEV](硬體配置) RTU 使用LC校正精靈沒接外部電源時，上下載會出現通訊錯誤的訊息，需優化提示訊息</t>
        </is>
      </c>
      <c r="C9" s="8" t="inlineStr">
        <is>
          <t>Designer Rev1.14.0 Sprint3</t>
        </is>
      </c>
      <c r="D9" s="8" t="inlineStr">
        <is>
          <t>Task</t>
        </is>
      </c>
      <c r="E9" s="8" t="inlineStr">
        <is>
          <t>Completed</t>
        </is>
      </c>
      <c r="F9" s="8" t="n">
        <v>0</v>
      </c>
      <c r="G9" s="8" t="n">
        <v>3.2</v>
      </c>
      <c r="H9" s="8" t="n">
        <v>3.2</v>
      </c>
    </row>
    <row r="10" ht="20" customHeight="1">
      <c r="A10" s="6" t="n">
        <v>583232</v>
      </c>
      <c r="B10" s="7" t="inlineStr">
        <is>
          <t>[RD_DEV](專案管理) 當專案存檔路徑為網路路徑且無存讀權限時， 軟體被拒絕後就會crash(無法操作)</t>
        </is>
      </c>
      <c r="C10" s="6" t="inlineStr">
        <is>
          <t>Designer Rev1.14.0 Sprint3</t>
        </is>
      </c>
      <c r="D10" s="6" t="inlineStr">
        <is>
          <t>Task</t>
        </is>
      </c>
      <c r="E10" s="6" t="inlineStr">
        <is>
          <t>Completed</t>
        </is>
      </c>
      <c r="F10" s="6" t="n">
        <v>0</v>
      </c>
      <c r="G10" s="6" t="n">
        <v>2.1</v>
      </c>
      <c r="H10" s="6" t="n">
        <v>2.1</v>
      </c>
    </row>
    <row r="11" ht="20" customHeight="1">
      <c r="A11" s="8" t="n">
        <v>581144</v>
      </c>
      <c r="B11" s="9" t="inlineStr">
        <is>
          <t>[RD_DEV](上載管理員) 裝置勾選三態修正</t>
        </is>
      </c>
      <c r="C11" s="8" t="inlineStr">
        <is>
          <t>Designer Rev1.14.0 Sprint3</t>
        </is>
      </c>
      <c r="D11" s="8" t="inlineStr">
        <is>
          <t>Task</t>
        </is>
      </c>
      <c r="E11" s="8" t="inlineStr">
        <is>
          <t>Completed</t>
        </is>
      </c>
      <c r="F11" s="8" t="n">
        <v>0</v>
      </c>
      <c r="G11" s="8" t="n">
        <v>3.6</v>
      </c>
      <c r="H11" s="8" t="n">
        <v>3.6</v>
      </c>
    </row>
    <row r="12" ht="20" customHeight="1">
      <c r="A12" s="6" t="n">
        <v>580591</v>
      </c>
      <c r="B12" s="7" t="inlineStr">
        <is>
          <t>(硬體配置) DVP16SEC裝置資訊例外</t>
        </is>
      </c>
      <c r="C12" s="6" t="inlineStr">
        <is>
          <t>Designer Rev1.14.0 Sprint3</t>
        </is>
      </c>
      <c r="D12" s="6" t="inlineStr">
        <is>
          <t>Task</t>
        </is>
      </c>
      <c r="E12" s="6" t="inlineStr">
        <is>
          <t>Completed</t>
        </is>
      </c>
      <c r="F12" s="6" t="n">
        <v>0</v>
      </c>
      <c r="G12" s="6" t="n">
        <v>0</v>
      </c>
      <c r="H12" s="6" t="n">
        <v>0</v>
      </c>
    </row>
    <row r="13" ht="20" customHeight="1">
      <c r="A13" s="8" t="n">
        <v>579664</v>
      </c>
      <c r="B13" s="9" t="inlineStr">
        <is>
          <t>[RD_DEV](上下載管理員) 父節點CheckStatus判斷修正、裝置節點預設Enable</t>
        </is>
      </c>
      <c r="C13" s="8" t="inlineStr">
        <is>
          <t>Designer Rev1.14.0 Sprint3</t>
        </is>
      </c>
      <c r="D13" s="8" t="inlineStr">
        <is>
          <t>Task</t>
        </is>
      </c>
      <c r="E13" s="8" t="inlineStr">
        <is>
          <t>Completed</t>
        </is>
      </c>
      <c r="F13" s="8" t="n">
        <v>0</v>
      </c>
      <c r="G13" s="8" t="n">
        <v>9.5</v>
      </c>
      <c r="H13" s="8" t="n">
        <v>9.5</v>
      </c>
    </row>
    <row r="14" ht="20" customHeight="1">
      <c r="A14" s="6" t="n">
        <v>579553</v>
      </c>
      <c r="B14" s="7" t="inlineStr">
        <is>
          <t>[RD_DEV] APF3000_硬體配置通訊卡參數修正</t>
        </is>
      </c>
      <c r="C14" s="6" t="inlineStr">
        <is>
          <t>Designer Rev1.14.0 Sprint2</t>
        </is>
      </c>
      <c r="D14" s="6" t="inlineStr">
        <is>
          <t>Task</t>
        </is>
      </c>
      <c r="E14" s="6" t="inlineStr">
        <is>
          <t>Completed</t>
        </is>
      </c>
      <c r="F14" s="6" t="n">
        <v>0</v>
      </c>
      <c r="G14" s="6" t="n">
        <v>0</v>
      </c>
      <c r="H14" s="6" t="n">
        <v>0</v>
      </c>
    </row>
    <row r="15" ht="20" customHeight="1">
      <c r="A15" s="8" t="n">
        <v>579040</v>
      </c>
      <c r="B15" s="9" t="inlineStr">
        <is>
          <t>[RD_DEV]機種切換會發生例外</t>
        </is>
      </c>
      <c r="C15" s="8" t="inlineStr">
        <is>
          <t>Designer Rev1.14.0 Sprint2</t>
        </is>
      </c>
      <c r="D15" s="8" t="inlineStr">
        <is>
          <t>Task</t>
        </is>
      </c>
      <c r="E15" s="8" t="inlineStr">
        <is>
          <t>Completed</t>
        </is>
      </c>
      <c r="F15" s="8" t="n">
        <v>0</v>
      </c>
      <c r="G15" s="8" t="n">
        <v>2.1</v>
      </c>
      <c r="H15" s="8" t="n">
        <v>2.1</v>
      </c>
    </row>
    <row r="16" ht="20" customHeight="1">
      <c r="A16" s="6" t="n">
        <v>578934</v>
      </c>
      <c r="B16" s="7" t="inlineStr">
        <is>
          <t>[RD_DEV](專案管理)  [KA]硬件组态删除无法撤销；功能块或者程序块删除无法撤销 (改為跳提示訊息告知無法回復，且用戶可勾不再提示。)</t>
        </is>
      </c>
      <c r="C16" s="6" t="inlineStr">
        <is>
          <t>Designer Rev1.14.0 Sprint2</t>
        </is>
      </c>
      <c r="D16" s="6" t="inlineStr">
        <is>
          <t>Task</t>
        </is>
      </c>
      <c r="E16" s="6" t="inlineStr">
        <is>
          <t>Completed</t>
        </is>
      </c>
      <c r="F16" s="6" t="n">
        <v>0</v>
      </c>
      <c r="G16" s="6" t="n">
        <v>0</v>
      </c>
      <c r="H16" s="6" t="n">
        <v>0</v>
      </c>
    </row>
    <row r="17" ht="20" customHeight="1">
      <c r="A17" s="8" t="n">
        <v>577618</v>
      </c>
      <c r="B17" s="9" t="inlineStr">
        <is>
          <t>[RD_DEV] DVP16SV3_硬體配置</t>
        </is>
      </c>
      <c r="C17" s="8" t="inlineStr">
        <is>
          <t>Designer Rev1.14.0 Sprint3</t>
        </is>
      </c>
      <c r="D17" s="8" t="inlineStr">
        <is>
          <t>Task</t>
        </is>
      </c>
      <c r="E17" s="8" t="inlineStr">
        <is>
          <t>Completed</t>
        </is>
      </c>
      <c r="F17" s="8" t="n">
        <v>0</v>
      </c>
      <c r="G17" s="8" t="n">
        <v>1</v>
      </c>
      <c r="H17" s="8" t="n">
        <v>1</v>
      </c>
    </row>
    <row r="18" ht="20" customHeight="1">
      <c r="A18" s="6" t="n">
        <v>577479</v>
      </c>
      <c r="B18" s="7" t="inlineStr">
        <is>
          <t>[RD_DEV] APF3000_硬體配置 (離線功能)</t>
        </is>
      </c>
      <c r="C18" s="6" t="inlineStr">
        <is>
          <t>Designer Rev1.14.0 Sprint2</t>
        </is>
      </c>
      <c r="D18" s="6" t="inlineStr">
        <is>
          <t>Task</t>
        </is>
      </c>
      <c r="E18" s="6" t="inlineStr">
        <is>
          <t>Completed</t>
        </is>
      </c>
      <c r="F18" s="6" t="n">
        <v>0</v>
      </c>
      <c r="G18" s="6" t="n">
        <v>0.5</v>
      </c>
      <c r="H18" s="6" t="n">
        <v>0.5</v>
      </c>
    </row>
    <row r="19" ht="20" customHeight="1">
      <c r="A19" s="8" t="n">
        <v>577477</v>
      </c>
      <c r="B19" s="9" t="inlineStr">
        <is>
          <t>[RD_DEV](下載管理員)EtherCAT、軸、E-CAM勾選連動與勾選三態修正</t>
        </is>
      </c>
      <c r="C19" s="8" t="inlineStr">
        <is>
          <t>Designer Rev1.14.0 Plan</t>
        </is>
      </c>
      <c r="D19" s="8" t="inlineStr">
        <is>
          <t>Task</t>
        </is>
      </c>
      <c r="E19" s="8" t="inlineStr">
        <is>
          <t>Completed</t>
        </is>
      </c>
      <c r="F19" s="8" t="n">
        <v>0</v>
      </c>
      <c r="G19" s="8" t="n">
        <v>7</v>
      </c>
      <c r="H19" s="8" t="n">
        <v>7</v>
      </c>
    </row>
    <row r="20" ht="20" customHeight="1">
      <c r="A20" s="6" t="n">
        <v>577469</v>
      </c>
      <c r="B20" s="7" t="inlineStr">
        <is>
          <t>[RD_DEV] VA3000_硬體配置 (離線功能)</t>
        </is>
      </c>
      <c r="C20" s="6" t="inlineStr">
        <is>
          <t>Designer Rev1.14.0 Sprint2</t>
        </is>
      </c>
      <c r="D20" s="6" t="inlineStr">
        <is>
          <t>Task</t>
        </is>
      </c>
      <c r="E20" s="6" t="inlineStr">
        <is>
          <t>Completed</t>
        </is>
      </c>
      <c r="F20" s="6" t="n">
        <v>0</v>
      </c>
      <c r="G20" s="6" t="n">
        <v>2</v>
      </c>
      <c r="H20" s="6" t="n">
        <v>2</v>
      </c>
    </row>
    <row r="21" ht="20" customHeight="1">
      <c r="A21" s="8" t="n">
        <v>577108</v>
      </c>
      <c r="B21" s="9" t="inlineStr">
        <is>
          <t>[RD_DEV] 研究Black Duck工具與分析掃描報告</t>
        </is>
      </c>
      <c r="C21" s="8" t="inlineStr">
        <is>
          <t>Designer Rev1.14.0 Sprint3</t>
        </is>
      </c>
      <c r="D21" s="8" t="inlineStr">
        <is>
          <t>Task</t>
        </is>
      </c>
      <c r="E21" s="8" t="inlineStr">
        <is>
          <t>In Progress</t>
        </is>
      </c>
      <c r="F21" s="8" t="n">
        <v>40</v>
      </c>
      <c r="G21" s="8" t="n">
        <v>0</v>
      </c>
      <c r="H21" s="8" t="n">
        <v>-40</v>
      </c>
    </row>
    <row r="22" ht="20" customHeight="1">
      <c r="A22" s="6" t="n">
        <v>576020</v>
      </c>
      <c r="B22" s="7" t="inlineStr">
        <is>
          <t>[RD_DEV](專案管理) AS 機種專案下載節點訊息顯示內容不符預期</t>
        </is>
      </c>
      <c r="C22" s="6" t="inlineStr">
        <is>
          <t>Designer Rev1.14.0 Plan</t>
        </is>
      </c>
      <c r="D22" s="6" t="inlineStr">
        <is>
          <t>Task</t>
        </is>
      </c>
      <c r="E22" s="6" t="inlineStr">
        <is>
          <t>Completed</t>
        </is>
      </c>
      <c r="F22" s="6" t="n">
        <v>0</v>
      </c>
      <c r="G22" s="6" t="n">
        <v>2.1</v>
      </c>
      <c r="H22" s="6" t="n">
        <v>2.1</v>
      </c>
    </row>
    <row r="23" ht="20" customHeight="1">
      <c r="A23" s="8" t="n">
        <v>575705</v>
      </c>
      <c r="B23" s="9" t="inlineStr">
        <is>
          <t>(Cyber Security) Regular review process of TMRA Process</t>
        </is>
      </c>
      <c r="C23" s="8" t="inlineStr">
        <is>
          <t>Designer Rev1.14.0 Sprint3</t>
        </is>
      </c>
      <c r="D23" s="8" t="inlineStr">
        <is>
          <t>Task</t>
        </is>
      </c>
      <c r="E23" s="8" t="inlineStr">
        <is>
          <t>Completed</t>
        </is>
      </c>
      <c r="F23" s="8" t="n">
        <v>24</v>
      </c>
      <c r="G23" s="8" t="n">
        <v>10</v>
      </c>
      <c r="H23" s="8" t="n">
        <v>-14</v>
      </c>
    </row>
    <row r="24" ht="20" customHeight="1">
      <c r="A24" s="6" t="n">
        <v>575089</v>
      </c>
      <c r="B24" s="7" t="inlineStr">
        <is>
          <t>[RD_DEV](硬體配置) DVP16SEC上載管理員配置出現錯誤子項目</t>
        </is>
      </c>
      <c r="C24" s="6" t="inlineStr">
        <is>
          <t>Designer Rev1.14.0 Sprint1</t>
        </is>
      </c>
      <c r="D24" s="6" t="inlineStr">
        <is>
          <t>Task</t>
        </is>
      </c>
      <c r="E24" s="6" t="inlineStr">
        <is>
          <t>Completed</t>
        </is>
      </c>
      <c r="F24" s="6" t="n">
        <v>0</v>
      </c>
      <c r="G24" s="6" t="n">
        <v>9.1</v>
      </c>
      <c r="H24" s="6" t="n">
        <v>9.1</v>
      </c>
    </row>
    <row r="25" ht="20" customHeight="1">
      <c r="A25" s="8" t="n">
        <v>574835</v>
      </c>
      <c r="B25" s="9" t="inlineStr">
        <is>
          <t>[RD_DEV] MA500_上下載</t>
        </is>
      </c>
      <c r="C25" s="8" t="inlineStr">
        <is>
          <t>Designer Rev1.14.0 Sprint3</t>
        </is>
      </c>
      <c r="D25" s="8" t="inlineStr">
        <is>
          <t>Task</t>
        </is>
      </c>
      <c r="E25" s="8" t="inlineStr">
        <is>
          <t>Completed</t>
        </is>
      </c>
      <c r="F25" s="8" t="n">
        <v>0</v>
      </c>
      <c r="G25" s="8" t="n">
        <v>0</v>
      </c>
      <c r="H25" s="8" t="n">
        <v>0</v>
      </c>
    </row>
    <row r="26" ht="20" customHeight="1">
      <c r="A26" s="6" t="n">
        <v>574833</v>
      </c>
      <c r="B26" s="7" t="inlineStr">
        <is>
          <t>[RD_DEV] MA500_硬體配置</t>
        </is>
      </c>
      <c r="C26" s="6" t="inlineStr">
        <is>
          <t>Designer Rev1.14.0 Sprint3</t>
        </is>
      </c>
      <c r="D26" s="6" t="inlineStr">
        <is>
          <t>Task</t>
        </is>
      </c>
      <c r="E26" s="6" t="inlineStr">
        <is>
          <t>Completed</t>
        </is>
      </c>
      <c r="F26" s="6" t="n">
        <v>0</v>
      </c>
      <c r="G26" s="6" t="n">
        <v>0</v>
      </c>
      <c r="H26" s="6" t="n">
        <v>0</v>
      </c>
    </row>
    <row r="27" ht="20" customHeight="1">
      <c r="A27" s="8" t="n">
        <v>574819</v>
      </c>
      <c r="B27" s="9" t="inlineStr">
        <is>
          <t>[RD_DEV] APF3000_上下載</t>
        </is>
      </c>
      <c r="C27" s="8" t="inlineStr">
        <is>
          <t>Designer Rev1.14.0 Sprint3</t>
        </is>
      </c>
      <c r="D27" s="8" t="inlineStr">
        <is>
          <t>Task</t>
        </is>
      </c>
      <c r="E27" s="8" t="inlineStr">
        <is>
          <t>Assigned</t>
        </is>
      </c>
      <c r="F27" s="8" t="n">
        <v>0</v>
      </c>
      <c r="G27" s="8" t="n">
        <v>0</v>
      </c>
      <c r="H27" s="8" t="n">
        <v>0</v>
      </c>
    </row>
    <row r="28" ht="20" customHeight="1">
      <c r="A28" s="6" t="n">
        <v>574817</v>
      </c>
      <c r="B28" s="7" t="inlineStr">
        <is>
          <t>[RD_DEV] APF3000_硬體配置</t>
        </is>
      </c>
      <c r="C28" s="6" t="inlineStr">
        <is>
          <t>Designer Rev1.14.0 Sprint3</t>
        </is>
      </c>
      <c r="D28" s="6" t="inlineStr">
        <is>
          <t>Task</t>
        </is>
      </c>
      <c r="E28" s="6" t="inlineStr">
        <is>
          <t>Assigned</t>
        </is>
      </c>
      <c r="F28" s="6" t="n">
        <v>0</v>
      </c>
      <c r="G28" s="6" t="n">
        <v>0</v>
      </c>
      <c r="H28" s="6" t="n">
        <v>0</v>
      </c>
    </row>
    <row r="29" ht="20" customHeight="1">
      <c r="A29" s="8" t="n">
        <v>573099</v>
      </c>
      <c r="B29" s="9" t="inlineStr">
        <is>
          <t>(Cyber Security) Regular review process of Configuration Items</t>
        </is>
      </c>
      <c r="C29" s="8" t="inlineStr">
        <is>
          <t>Designer Rev1.14.0 Sprint3</t>
        </is>
      </c>
      <c r="D29" s="8" t="inlineStr">
        <is>
          <t>Task</t>
        </is>
      </c>
      <c r="E29" s="8" t="inlineStr">
        <is>
          <t>Completed</t>
        </is>
      </c>
      <c r="F29" s="8" t="n">
        <v>0</v>
      </c>
      <c r="G29" s="8" t="n">
        <v>7</v>
      </c>
      <c r="H29" s="8" t="n">
        <v>7</v>
      </c>
    </row>
    <row r="30" ht="20" customHeight="1">
      <c r="A30" s="6" t="n">
        <v>562193</v>
      </c>
      <c r="B30" s="7" t="inlineStr">
        <is>
          <t>[RD_DEV] 當移除 DVP-EN02 配置時，轉換前需提示訊息，告知 DVP-EN02 配置及相關資料交換將被刪除</t>
        </is>
      </c>
      <c r="C30" s="6" t="inlineStr">
        <is>
          <t>Designer Rev1.14.0 Plan</t>
        </is>
      </c>
      <c r="D30" s="6" t="inlineStr">
        <is>
          <t>Task</t>
        </is>
      </c>
      <c r="E30" s="6" t="inlineStr">
        <is>
          <t>Assigned</t>
        </is>
      </c>
      <c r="F30" s="6" t="n">
        <v>5</v>
      </c>
      <c r="G30" s="6" t="n">
        <v>0</v>
      </c>
      <c r="H30" s="6" t="n">
        <v>-5</v>
      </c>
    </row>
    <row r="31" ht="20" customHeight="1">
      <c r="A31" s="8" t="n">
        <v>562192</v>
      </c>
      <c r="B31" s="9" t="inlineStr">
        <is>
          <t>[RD_DEV] 當移除 EIP RTU 配置時，轉換前需提示訊息，告知 RTU 配置及相關資料交換將被刪除</t>
        </is>
      </c>
      <c r="C31" s="8" t="inlineStr">
        <is>
          <t>Designer Rev1.14.0 Plan</t>
        </is>
      </c>
      <c r="D31" s="8" t="inlineStr">
        <is>
          <t>Task</t>
        </is>
      </c>
      <c r="E31" s="8" t="inlineStr">
        <is>
          <t>Assigned</t>
        </is>
      </c>
      <c r="F31" s="8" t="n">
        <v>5</v>
      </c>
      <c r="G31" s="8" t="n">
        <v>0</v>
      </c>
      <c r="H31" s="8" t="n">
        <v>-5</v>
      </c>
    </row>
    <row r="32" ht="20" customHeight="1">
      <c r="A32" s="6" t="n">
        <v>546029</v>
      </c>
      <c r="B32" s="7" t="inlineStr">
        <is>
          <t>(Cyber Security) Regular review process of Single Develop Task Process</t>
        </is>
      </c>
      <c r="C32" s="6" t="inlineStr">
        <is>
          <t>Designer Rev1.14.0 Sprint2</t>
        </is>
      </c>
      <c r="D32" s="6" t="inlineStr">
        <is>
          <t>Task</t>
        </is>
      </c>
      <c r="E32" s="6" t="inlineStr">
        <is>
          <t>Completed</t>
        </is>
      </c>
      <c r="F32" s="6" t="n">
        <v>0</v>
      </c>
      <c r="G32" s="6" t="n">
        <v>5</v>
      </c>
      <c r="H32" s="6" t="n">
        <v>5</v>
      </c>
    </row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</sheetData>
  <mergeCells count="1">
    <mergeCell ref="A1:H2"/>
  </mergeCells>
  <conditionalFormatting sqref="H8:H32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10" customWidth="1" min="4" max="4"/>
    <col width="18" customWidth="1" min="5" max="5"/>
    <col width="13" customWidth="1" min="6" max="6"/>
    <col width="13" customWidth="1" min="7" max="7"/>
    <col width="10" customWidth="1" min="8" max="8"/>
  </cols>
  <sheetData>
    <row r="1" ht="20" customHeight="1">
      <c r="A1" s="4" t="inlineStr">
        <is>
          <t>JEAN.LC.WANG 王儷臻</t>
        </is>
      </c>
    </row>
    <row r="2" ht="20" customHeight="1"/>
    <row r="3" ht="20" customHeight="1"/>
    <row r="4" ht="20" customHeight="1">
      <c r="B4" s="2" t="inlineStr">
        <is>
          <t>Estimate(h)</t>
        </is>
      </c>
      <c r="C4" s="2" t="inlineStr">
        <is>
          <t>TimeSpend(h)</t>
        </is>
      </c>
      <c r="D4" s="2" t="inlineStr">
        <is>
          <t>Utilization</t>
        </is>
      </c>
      <c r="E4" s="2" t="inlineStr">
        <is>
          <t>Tasks</t>
        </is>
      </c>
    </row>
    <row r="5" ht="20" customHeight="1">
      <c r="B5" s="3" t="inlineStr">
        <is>
          <t>128.0h</t>
        </is>
      </c>
      <c r="C5" s="3" t="inlineStr">
        <is>
          <t>31.3h</t>
        </is>
      </c>
      <c r="D5" s="3" t="inlineStr">
        <is>
          <t>24.5%</t>
        </is>
      </c>
      <c r="E5" s="3" t="inlineStr">
        <is>
          <t>48</t>
        </is>
      </c>
    </row>
    <row r="6" ht="20" customHeight="1"/>
    <row r="7" ht="24" customHeight="1">
      <c r="A7" s="5" t="inlineStr">
        <is>
          <t>ID</t>
        </is>
      </c>
      <c r="B7" s="5" t="inlineStr">
        <is>
          <t>Summary</t>
        </is>
      </c>
      <c r="C7" s="5" t="inlineStr">
        <is>
          <t>Planned For</t>
        </is>
      </c>
      <c r="D7" s="5" t="inlineStr">
        <is>
          <t>Type</t>
        </is>
      </c>
      <c r="E7" s="5" t="inlineStr">
        <is>
          <t>State</t>
        </is>
      </c>
      <c r="F7" s="5" t="inlineStr">
        <is>
          <t>Estimate(h)</t>
        </is>
      </c>
      <c r="G7" s="5" t="inlineStr">
        <is>
          <t>TimeSpend(h)</t>
        </is>
      </c>
      <c r="H7" s="5" t="inlineStr">
        <is>
          <t>Diff(h)</t>
        </is>
      </c>
    </row>
    <row r="8" ht="20" customHeight="1">
      <c r="A8" s="6" t="n">
        <v>583009</v>
      </c>
      <c r="B8" s="7" t="inlineStr">
        <is>
          <t>[PLM] PJ134A-26-SS3-4-2-02-12_SE-SDD II (Detail Design)(4-2 SE-SDDD)</t>
        </is>
      </c>
      <c r="C8" s="6" t="inlineStr">
        <is>
          <t>Designer Rev1.14.0 Sprint3</t>
        </is>
      </c>
      <c r="D8" s="6" t="inlineStr">
        <is>
          <t>Task</t>
        </is>
      </c>
      <c r="E8" s="6" t="inlineStr">
        <is>
          <t>Resolved</t>
        </is>
      </c>
      <c r="F8" s="6" t="n">
        <v>0</v>
      </c>
      <c r="G8" s="6" t="n">
        <v>2</v>
      </c>
      <c r="H8" s="6" t="n">
        <v>2</v>
      </c>
    </row>
    <row r="9" ht="20" customHeight="1">
      <c r="A9" s="8" t="n">
        <v>581324</v>
      </c>
      <c r="B9" s="9" t="inlineStr">
        <is>
          <t>[RD_DEV] 驗證AS300EC 硬體配置通訊</t>
        </is>
      </c>
      <c r="C9" s="8" t="inlineStr">
        <is>
          <t>Designer Rev1.14.0 Sprint3</t>
        </is>
      </c>
      <c r="D9" s="8" t="inlineStr">
        <is>
          <t>Task</t>
        </is>
      </c>
      <c r="E9" s="8" t="inlineStr">
        <is>
          <t>Completed</t>
        </is>
      </c>
      <c r="F9" s="8" t="n">
        <v>0</v>
      </c>
      <c r="G9" s="8" t="n">
        <v>0</v>
      </c>
      <c r="H9" s="8" t="n">
        <v>0</v>
      </c>
    </row>
    <row r="10" ht="20" customHeight="1">
      <c r="A10" s="6" t="n">
        <v>580022</v>
      </c>
      <c r="B10" s="7" t="inlineStr">
        <is>
          <t>[RD_DEV] DVP16SV3_Online/Offline Status Bar</t>
        </is>
      </c>
      <c r="C10" s="6" t="inlineStr">
        <is>
          <t>Designer Rev1.14.0 Sprint3</t>
        </is>
      </c>
      <c r="D10" s="6" t="inlineStr">
        <is>
          <t>Task</t>
        </is>
      </c>
      <c r="E10" s="6" t="inlineStr">
        <is>
          <t>Completed</t>
        </is>
      </c>
      <c r="F10" s="6" t="n">
        <v>0</v>
      </c>
      <c r="G10" s="6" t="n">
        <v>0</v>
      </c>
      <c r="H10" s="6" t="n">
        <v>0</v>
      </c>
    </row>
    <row r="11" ht="20" customHeight="1">
      <c r="A11" s="8" t="n">
        <v>580015</v>
      </c>
      <c r="B11" s="9" t="inlineStr">
        <is>
          <t>[RD_DEV] HMI 機種轉換</t>
        </is>
      </c>
      <c r="C11" s="8" t="inlineStr">
        <is>
          <t>Designer Rev1.14.0 Sprint2</t>
        </is>
      </c>
      <c r="D11" s="8" t="inlineStr">
        <is>
          <t>Task</t>
        </is>
      </c>
      <c r="E11" s="8" t="inlineStr">
        <is>
          <t>Completed</t>
        </is>
      </c>
      <c r="F11" s="8" t="n">
        <v>0</v>
      </c>
      <c r="G11" s="8" t="n">
        <v>0</v>
      </c>
      <c r="H11" s="8" t="n">
        <v>0</v>
      </c>
    </row>
    <row r="12" ht="20" customHeight="1">
      <c r="A12" s="6" t="n">
        <v>579914</v>
      </c>
      <c r="B12" s="7" t="inlineStr">
        <is>
          <t>[RD_DEV] 組態上載後更新實際值到輸入值欄位</t>
        </is>
      </c>
      <c r="C12" s="6" t="inlineStr">
        <is>
          <t>Designer Rev1.14.0 Sprint3</t>
        </is>
      </c>
      <c r="D12" s="6" t="inlineStr">
        <is>
          <t>Task</t>
        </is>
      </c>
      <c r="E12" s="6" t="inlineStr">
        <is>
          <t>Completed</t>
        </is>
      </c>
      <c r="F12" s="6" t="n">
        <v>0</v>
      </c>
      <c r="G12" s="6" t="n">
        <v>0</v>
      </c>
      <c r="H12" s="6" t="n">
        <v>0</v>
      </c>
    </row>
    <row r="13" ht="20" customHeight="1">
      <c r="A13" s="8" t="n">
        <v>579532</v>
      </c>
      <c r="B13" s="9" t="inlineStr">
        <is>
          <t>[RD_DEV] HMI 存讀檔</t>
        </is>
      </c>
      <c r="C13" s="8" t="inlineStr">
        <is>
          <t>Designer Rev1.14.0 Sprint2</t>
        </is>
      </c>
      <c r="D13" s="8" t="inlineStr">
        <is>
          <t>Task</t>
        </is>
      </c>
      <c r="E13" s="8" t="inlineStr">
        <is>
          <t>Completed</t>
        </is>
      </c>
      <c r="F13" s="8" t="n">
        <v>0</v>
      </c>
      <c r="G13" s="8" t="n">
        <v>0</v>
      </c>
      <c r="H13" s="8" t="n">
        <v>0</v>
      </c>
    </row>
    <row r="14" ht="20" customHeight="1">
      <c r="A14" s="6" t="n">
        <v>578419</v>
      </c>
      <c r="B14" s="7" t="inlineStr">
        <is>
          <t xml:space="preserve">[RD_DEV][W3A] HW_Tag_Table 新增按鈕更新以DDF內容為主產生系統變數的功能
 </t>
        </is>
      </c>
      <c r="C14" s="6" t="inlineStr">
        <is>
          <t>Designer Rev1.14.0 Sprint2</t>
        </is>
      </c>
      <c r="D14" s="6" t="inlineStr">
        <is>
          <t>Task</t>
        </is>
      </c>
      <c r="E14" s="6" t="inlineStr">
        <is>
          <t>Completed</t>
        </is>
      </c>
      <c r="F14" s="6" t="n">
        <v>0</v>
      </c>
      <c r="G14" s="6" t="n">
        <v>0</v>
      </c>
      <c r="H14" s="6" t="n">
        <v>0</v>
      </c>
    </row>
    <row r="15" ht="20" customHeight="1">
      <c r="A15" s="8" t="n">
        <v>578273</v>
      </c>
      <c r="B15" s="9" t="inlineStr">
        <is>
          <t>[PLM] PJ134A-26-SS3-3-2-05_SE_SRS (Software) (3-2 SRS(Software))</t>
        </is>
      </c>
      <c r="C15" s="8" t="inlineStr">
        <is>
          <t>Designer Rev1.14.0 Sprint2</t>
        </is>
      </c>
      <c r="D15" s="8" t="inlineStr">
        <is>
          <t>Task</t>
        </is>
      </c>
      <c r="E15" s="8" t="inlineStr">
        <is>
          <t>Completed</t>
        </is>
      </c>
      <c r="F15" s="8" t="n">
        <v>0</v>
      </c>
      <c r="G15" s="8" t="n">
        <v>0</v>
      </c>
      <c r="H15" s="8" t="n">
        <v>0</v>
      </c>
    </row>
    <row r="16" ht="20" customHeight="1">
      <c r="A16" s="6" t="n">
        <v>578013</v>
      </c>
      <c r="B16" s="7" t="inlineStr">
        <is>
          <t>[RD_DEV][W3A] IOMap Subitem 的變數位址調整</t>
        </is>
      </c>
      <c r="C16" s="6" t="inlineStr">
        <is>
          <t>Designer Rev1.14.0 Sprint3</t>
        </is>
      </c>
      <c r="D16" s="6" t="inlineStr">
        <is>
          <t>Task</t>
        </is>
      </c>
      <c r="E16" s="6" t="inlineStr">
        <is>
          <t>Completed</t>
        </is>
      </c>
      <c r="F16" s="6" t="n">
        <v>0</v>
      </c>
      <c r="G16" s="6" t="n">
        <v>0</v>
      </c>
      <c r="H16" s="6" t="n">
        <v>0</v>
      </c>
    </row>
    <row r="17" ht="20" customHeight="1">
      <c r="A17" s="8" t="n">
        <v>578011</v>
      </c>
      <c r="B17" s="9" t="inlineStr">
        <is>
          <t>RD/TE--軟體架構圖更新--同步DDF &amp; DLL給DIASelector</t>
        </is>
      </c>
      <c r="C17" s="8" t="inlineStr">
        <is>
          <t>Designer Rev1.14.0 Sprint2</t>
        </is>
      </c>
      <c r="D17" s="8" t="inlineStr">
        <is>
          <t>Task</t>
        </is>
      </c>
      <c r="E17" s="8" t="inlineStr">
        <is>
          <t>Completed</t>
        </is>
      </c>
      <c r="F17" s="8" t="n">
        <v>0</v>
      </c>
      <c r="G17" s="8" t="n">
        <v>0</v>
      </c>
      <c r="H17" s="8" t="n">
        <v>0</v>
      </c>
    </row>
    <row r="18" ht="20" customHeight="1">
      <c r="A18" s="6" t="n">
        <v>577931</v>
      </c>
      <c r="B18" s="7" t="inlineStr">
        <is>
          <t>[RD_DEV] HMI 專案樹節點右鍵開啟DIAScreen</t>
        </is>
      </c>
      <c r="C18" s="6" t="inlineStr">
        <is>
          <t>Designer Rev1.14.0 Sprint2</t>
        </is>
      </c>
      <c r="D18" s="6" t="inlineStr">
        <is>
          <t>Task</t>
        </is>
      </c>
      <c r="E18" s="6" t="inlineStr">
        <is>
          <t>Completed</t>
        </is>
      </c>
      <c r="F18" s="6" t="n">
        <v>0</v>
      </c>
      <c r="G18" s="6" t="n">
        <v>0</v>
      </c>
      <c r="H18" s="6" t="n">
        <v>0</v>
      </c>
    </row>
    <row r="19" ht="20" customHeight="1">
      <c r="A19" s="8" t="n">
        <v>577617</v>
      </c>
      <c r="B19" s="9" t="inlineStr">
        <is>
          <t>[RD_DEV] DVP16SV3_通訊設定</t>
        </is>
      </c>
      <c r="C19" s="8" t="inlineStr">
        <is>
          <t>Designer Rev1.14.0 Sprint3</t>
        </is>
      </c>
      <c r="D19" s="8" t="inlineStr">
        <is>
          <t>Task</t>
        </is>
      </c>
      <c r="E19" s="8" t="inlineStr">
        <is>
          <t>Completed</t>
        </is>
      </c>
      <c r="F19" s="8" t="n">
        <v>0</v>
      </c>
      <c r="G19" s="8" t="n">
        <v>0</v>
      </c>
      <c r="H19" s="8" t="n">
        <v>0</v>
      </c>
    </row>
    <row r="20" ht="20" customHeight="1">
      <c r="A20" s="6" t="n">
        <v>577616</v>
      </c>
      <c r="B20" s="7" t="inlineStr">
        <is>
          <t>[RD_DEV] DVP16SV3_新增裝置</t>
        </is>
      </c>
      <c r="C20" s="6" t="inlineStr">
        <is>
          <t>Designer Rev1.14.0 Sprint3</t>
        </is>
      </c>
      <c r="D20" s="6" t="inlineStr">
        <is>
          <t>Task</t>
        </is>
      </c>
      <c r="E20" s="6" t="inlineStr">
        <is>
          <t>Completed</t>
        </is>
      </c>
      <c r="F20" s="6" t="n">
        <v>0</v>
      </c>
      <c r="G20" s="6" t="n">
        <v>0</v>
      </c>
      <c r="H20" s="6" t="n">
        <v>0</v>
      </c>
    </row>
    <row r="21" ht="20" customHeight="1">
      <c r="A21" s="8" t="n">
        <v>577357</v>
      </c>
      <c r="B21" s="9" t="inlineStr">
        <is>
          <t>[RD_DEV][W3A]若存檔格式有調整舊軟體不能開新版存檔內容</t>
        </is>
      </c>
      <c r="C21" s="8" t="inlineStr">
        <is>
          <t>Designer Rev1.14.0 Sprint2</t>
        </is>
      </c>
      <c r="D21" s="8" t="inlineStr">
        <is>
          <t>Task</t>
        </is>
      </c>
      <c r="E21" s="8" t="inlineStr">
        <is>
          <t>Resolved</t>
        </is>
      </c>
      <c r="F21" s="8" t="n">
        <v>0</v>
      </c>
      <c r="G21" s="8" t="n">
        <v>0.1</v>
      </c>
      <c r="H21" s="8" t="n">
        <v>0.1</v>
      </c>
    </row>
    <row r="22" ht="20" customHeight="1">
      <c r="A22" s="6" t="n">
        <v>576859</v>
      </c>
      <c r="B22" s="7" t="inlineStr">
        <is>
          <t>[RD_DEV] DVP 三代機 正確新增左右側模組</t>
        </is>
      </c>
      <c r="C22" s="6" t="inlineStr">
        <is>
          <t>Designer Rev1.14.0 Sprint1</t>
        </is>
      </c>
      <c r="D22" s="6" t="inlineStr">
        <is>
          <t>Task</t>
        </is>
      </c>
      <c r="E22" s="6" t="inlineStr">
        <is>
          <t>Completed</t>
        </is>
      </c>
      <c r="F22" s="6" t="n">
        <v>0</v>
      </c>
      <c r="G22" s="6" t="n">
        <v>0</v>
      </c>
      <c r="H22" s="6" t="n">
        <v>0</v>
      </c>
    </row>
    <row r="23" ht="20" customHeight="1">
      <c r="A23" s="8" t="n">
        <v>576777</v>
      </c>
      <c r="B23" s="9" t="inlineStr">
        <is>
          <t>在DIADesigner的拓樸圖可加入HMI (的圖示)，用於專案前期對客戶說明規畫  (規格文件)</t>
        </is>
      </c>
      <c r="C23" s="8" t="inlineStr">
        <is>
          <t>Designer Rev1.14.0 Sprint3</t>
        </is>
      </c>
      <c r="D23" s="8" t="inlineStr">
        <is>
          <t>Task</t>
        </is>
      </c>
      <c r="E23" s="8" t="inlineStr">
        <is>
          <t>Completed</t>
        </is>
      </c>
      <c r="F23" s="8" t="n">
        <v>0</v>
      </c>
      <c r="G23" s="8" t="n">
        <v>0</v>
      </c>
      <c r="H23" s="8" t="n">
        <v>0</v>
      </c>
    </row>
    <row r="24" ht="20" customHeight="1">
      <c r="A24" s="6" t="n">
        <v>576618</v>
      </c>
      <c r="B24" s="7" t="inlineStr">
        <is>
          <t>[RD_DEV] DVP 三代機模擬器連線</t>
        </is>
      </c>
      <c r="C24" s="6" t="inlineStr">
        <is>
          <t>Designer Rev1.14.0 Sprint1</t>
        </is>
      </c>
      <c r="D24" s="6" t="inlineStr">
        <is>
          <t>Task</t>
        </is>
      </c>
      <c r="E24" s="6" t="inlineStr">
        <is>
          <t>Completed</t>
        </is>
      </c>
      <c r="F24" s="6" t="n">
        <v>0</v>
      </c>
      <c r="G24" s="6" t="n">
        <v>0</v>
      </c>
      <c r="H24" s="6" t="n">
        <v>0</v>
      </c>
    </row>
    <row r="25" ht="20" customHeight="1">
      <c r="A25" s="8" t="n">
        <v>576598</v>
      </c>
      <c r="B25" s="9" t="inlineStr">
        <is>
          <t>[RD_DEV] DVP 三代機模組清單</t>
        </is>
      </c>
      <c r="C25" s="8" t="inlineStr">
        <is>
          <t>Designer Rev1.14.0 Sprint1</t>
        </is>
      </c>
      <c r="D25" s="8" t="inlineStr">
        <is>
          <t>Task</t>
        </is>
      </c>
      <c r="E25" s="8" t="inlineStr">
        <is>
          <t>Completed</t>
        </is>
      </c>
      <c r="F25" s="8" t="n">
        <v>0</v>
      </c>
      <c r="G25" s="8" t="n">
        <v>0</v>
      </c>
      <c r="H25" s="8" t="n">
        <v>0</v>
      </c>
    </row>
    <row r="26" ht="20" customHeight="1">
      <c r="A26" s="6" t="n">
        <v>576490</v>
      </c>
      <c r="B26" s="7" t="inlineStr">
        <is>
          <t>[RD_DEV][W3A] Local IO 映射表提供 sub channel 資訊給編譯器</t>
        </is>
      </c>
      <c r="C26" s="6" t="inlineStr">
        <is>
          <t>Designer Rev1.14.0 Sprint3</t>
        </is>
      </c>
      <c r="D26" s="6" t="inlineStr">
        <is>
          <t>Task</t>
        </is>
      </c>
      <c r="E26" s="6" t="inlineStr">
        <is>
          <t>Completed</t>
        </is>
      </c>
      <c r="F26" s="6" t="n">
        <v>0</v>
      </c>
      <c r="G26" s="6" t="n">
        <v>1</v>
      </c>
      <c r="H26" s="6" t="n">
        <v>1</v>
      </c>
    </row>
    <row r="27" ht="20" customHeight="1">
      <c r="A27" s="8" t="n">
        <v>576489</v>
      </c>
      <c r="B27" s="9" t="inlineStr">
        <is>
          <t>[RD_DEV][W3A] Motion interface IO 映射表提供 sub channel 資訊給編譯器</t>
        </is>
      </c>
      <c r="C27" s="8" t="inlineStr">
        <is>
          <t>Designer Rev1.14.0 Sprint3</t>
        </is>
      </c>
      <c r="D27" s="8" t="inlineStr">
        <is>
          <t>Task</t>
        </is>
      </c>
      <c r="E27" s="8" t="inlineStr">
        <is>
          <t>Completed</t>
        </is>
      </c>
      <c r="F27" s="8" t="n">
        <v>0</v>
      </c>
      <c r="G27" s="8" t="n">
        <v>1</v>
      </c>
      <c r="H27" s="8" t="n">
        <v>1</v>
      </c>
    </row>
    <row r="28" ht="20" customHeight="1">
      <c r="A28" s="6" t="n">
        <v>573569</v>
      </c>
      <c r="B28" s="7" t="inlineStr">
        <is>
          <t>[RD_DEV] HMI在軟體上工具列上通用功能的皆須防呆不可操作</t>
        </is>
      </c>
      <c r="C28" s="6" t="inlineStr">
        <is>
          <t>Designer Rev1.14.0 Sprint2</t>
        </is>
      </c>
      <c r="D28" s="6" t="inlineStr">
        <is>
          <t>Task</t>
        </is>
      </c>
      <c r="E28" s="6" t="inlineStr">
        <is>
          <t>Completed</t>
        </is>
      </c>
      <c r="F28" s="6" t="n">
        <v>0</v>
      </c>
      <c r="G28" s="6" t="n">
        <v>0.1</v>
      </c>
      <c r="H28" s="6" t="n">
        <v>0.1</v>
      </c>
    </row>
    <row r="29" ht="20" customHeight="1">
      <c r="A29" s="8" t="n">
        <v>573567</v>
      </c>
      <c r="B29" s="9" t="inlineStr">
        <is>
          <t>[RD_DEV] 新增 HMI 機種</t>
        </is>
      </c>
      <c r="C29" s="8" t="inlineStr">
        <is>
          <t>Designer Rev1.14.0 Sprint2</t>
        </is>
      </c>
      <c r="D29" s="8" t="inlineStr">
        <is>
          <t>Task</t>
        </is>
      </c>
      <c r="E29" s="8" t="inlineStr">
        <is>
          <t>Completed</t>
        </is>
      </c>
      <c r="F29" s="8" t="n">
        <v>0</v>
      </c>
      <c r="G29" s="8" t="n">
        <v>0</v>
      </c>
      <c r="H29" s="8" t="n">
        <v>0</v>
      </c>
    </row>
    <row r="30" ht="20" customHeight="1">
      <c r="A30" s="6" t="n">
        <v>573304</v>
      </c>
      <c r="B30" s="7" t="inlineStr">
        <is>
          <t>[RD_DEV] DVPSEC - 驗證 硬體配置連線功能</t>
        </is>
      </c>
      <c r="C30" s="6" t="inlineStr">
        <is>
          <t>Designer Rev1.14.0 Sprint3</t>
        </is>
      </c>
      <c r="D30" s="6" t="inlineStr">
        <is>
          <t>Task</t>
        </is>
      </c>
      <c r="E30" s="6" t="inlineStr">
        <is>
          <t>In Progress</t>
        </is>
      </c>
      <c r="F30" s="6" t="n">
        <v>0</v>
      </c>
      <c r="G30" s="6" t="n">
        <v>2.2</v>
      </c>
      <c r="H30" s="6" t="n">
        <v>2.2</v>
      </c>
    </row>
    <row r="31" ht="20" customHeight="1">
      <c r="A31" s="8" t="n">
        <v>572907</v>
      </c>
      <c r="B31" s="9" t="inlineStr">
        <is>
          <t>[PLM] PJ116A-MS300-NEMA4X-DB, PJ116A-MS300-NEMA4X-D - 3-2-05_SE_SRS (Software) (3-2 SRS(Software))</t>
        </is>
      </c>
      <c r="C31" s="8" t="inlineStr">
        <is>
          <t>Designer Rev1.14.0 Sprint1</t>
        </is>
      </c>
      <c r="D31" s="8" t="inlineStr">
        <is>
          <t>Task</t>
        </is>
      </c>
      <c r="E31" s="8" t="inlineStr">
        <is>
          <t>Completed</t>
        </is>
      </c>
      <c r="F31" s="8" t="n">
        <v>0</v>
      </c>
      <c r="G31" s="8" t="n">
        <v>2</v>
      </c>
      <c r="H31" s="8" t="n">
        <v>2</v>
      </c>
    </row>
    <row r="32" ht="20" customHeight="1">
      <c r="A32" s="6" t="n">
        <v>572752</v>
      </c>
      <c r="B32" s="7" t="inlineStr">
        <is>
          <t>[RD_DEV] 初步驗證 B5 下載</t>
        </is>
      </c>
      <c r="C32" s="6" t="inlineStr">
        <is>
          <t>Designer Rev1.14.0 Sprint1</t>
        </is>
      </c>
      <c r="D32" s="6" t="inlineStr">
        <is>
          <t>Task</t>
        </is>
      </c>
      <c r="E32" s="6" t="inlineStr">
        <is>
          <t>In Progress</t>
        </is>
      </c>
      <c r="F32" s="6" t="n">
        <v>16</v>
      </c>
      <c r="G32" s="6" t="n">
        <v>2</v>
      </c>
      <c r="H32" s="6" t="n">
        <v>-14</v>
      </c>
    </row>
    <row r="33" ht="20" customHeight="1">
      <c r="A33" s="8" t="n">
        <v>572033</v>
      </c>
      <c r="B33" s="9" t="inlineStr">
        <is>
          <t>[RD_DEV][W3A] RefreshIndexTool  Corner Mode</t>
        </is>
      </c>
      <c r="C33" s="8" t="inlineStr">
        <is>
          <t>Designer Rev1.14.0 Sprint2</t>
        </is>
      </c>
      <c r="D33" s="8" t="inlineStr">
        <is>
          <t>Task</t>
        </is>
      </c>
      <c r="E33" s="8" t="inlineStr">
        <is>
          <t>Completed</t>
        </is>
      </c>
      <c r="F33" s="8" t="n">
        <v>0</v>
      </c>
      <c r="G33" s="8" t="n">
        <v>1.5</v>
      </c>
      <c r="H33" s="8" t="n">
        <v>1.5</v>
      </c>
    </row>
    <row r="34" ht="20" customHeight="1">
      <c r="A34" s="6" t="n">
        <v>569945</v>
      </c>
      <c r="B34" s="7" t="inlineStr">
        <is>
          <t>[RD_DEV] DVP16SV3 機種變更清單</t>
        </is>
      </c>
      <c r="C34" s="6" t="inlineStr">
        <is>
          <t>Designer Rev1.14.0 Sprint1</t>
        </is>
      </c>
      <c r="D34" s="6" t="inlineStr">
        <is>
          <t>Task</t>
        </is>
      </c>
      <c r="E34" s="6" t="inlineStr">
        <is>
          <t>Completed</t>
        </is>
      </c>
      <c r="F34" s="6" t="n">
        <v>0</v>
      </c>
      <c r="G34" s="6" t="n">
        <v>0</v>
      </c>
      <c r="H34" s="6" t="n">
        <v>0</v>
      </c>
    </row>
    <row r="35" ht="20" customHeight="1">
      <c r="A35" s="8" t="n">
        <v>569336</v>
      </c>
      <c r="B35" s="9" t="inlineStr">
        <is>
          <t>[RD_DEV] (新增裝置)(工程版)支援ASD-B5 - 規格文件</t>
        </is>
      </c>
      <c r="C35" s="8" t="inlineStr">
        <is>
          <t>Designer Rev1.14.0 Sprint2</t>
        </is>
      </c>
      <c r="D35" s="8" t="inlineStr">
        <is>
          <t>Task</t>
        </is>
      </c>
      <c r="E35" s="8" t="inlineStr">
        <is>
          <t>Assigned</t>
        </is>
      </c>
      <c r="F35" s="8" t="n">
        <v>0</v>
      </c>
      <c r="G35" s="8" t="n">
        <v>0</v>
      </c>
      <c r="H35" s="8" t="n">
        <v>0</v>
      </c>
    </row>
    <row r="36" ht="20" customHeight="1">
      <c r="A36" s="6" t="n">
        <v>566580</v>
      </c>
      <c r="B36" s="7" t="inlineStr">
        <is>
          <t>[RD_DEV] 組態上載 封包間間隔時間略長</t>
        </is>
      </c>
      <c r="C36" s="6" t="inlineStr">
        <is>
          <t>Designer Rev1.14.0 Sprint2</t>
        </is>
      </c>
      <c r="D36" s="6" t="inlineStr">
        <is>
          <t>Task</t>
        </is>
      </c>
      <c r="E36" s="6" t="inlineStr">
        <is>
          <t>Completed</t>
        </is>
      </c>
      <c r="F36" s="6" t="n">
        <v>0</v>
      </c>
      <c r="G36" s="6" t="n">
        <v>0</v>
      </c>
      <c r="H36" s="6" t="n">
        <v>0</v>
      </c>
    </row>
    <row r="37" ht="20" customHeight="1">
      <c r="A37" s="8" t="n">
        <v>566578</v>
      </c>
      <c r="B37" s="9" t="inlineStr">
        <is>
          <t>[RD_DEV] 詢問是否上載子選單細項內容</t>
        </is>
      </c>
      <c r="C37" s="8" t="inlineStr">
        <is>
          <t>Designer Rev1.14.0 Sprint2</t>
        </is>
      </c>
      <c r="D37" s="8" t="inlineStr">
        <is>
          <t>Task</t>
        </is>
      </c>
      <c r="E37" s="8" t="inlineStr">
        <is>
          <t>Completed</t>
        </is>
      </c>
      <c r="F37" s="8" t="n">
        <v>0</v>
      </c>
      <c r="G37" s="8" t="n">
        <v>0</v>
      </c>
      <c r="H37" s="8" t="n">
        <v>0</v>
      </c>
    </row>
    <row r="38" ht="20" customHeight="1">
      <c r="A38" s="6" t="n">
        <v>566576</v>
      </c>
      <c r="B38" s="7" t="inlineStr">
        <is>
          <t>[RD_DEV] 支援 MX 逆變軸組態上載</t>
        </is>
      </c>
      <c r="C38" s="6" t="inlineStr">
        <is>
          <t>Designer Rev1.14.0 Sprint1</t>
        </is>
      </c>
      <c r="D38" s="6" t="inlineStr">
        <is>
          <t>Task</t>
        </is>
      </c>
      <c r="E38" s="6" t="inlineStr">
        <is>
          <t>Completed</t>
        </is>
      </c>
      <c r="F38" s="6" t="n">
        <v>0</v>
      </c>
      <c r="G38" s="6" t="n">
        <v>0</v>
      </c>
      <c r="H38" s="6" t="n">
        <v>0</v>
      </c>
    </row>
    <row r="39" ht="20" customHeight="1">
      <c r="A39" s="8" t="n">
        <v>566575</v>
      </c>
      <c r="B39" s="9" t="inlineStr">
        <is>
          <t>[RD_DEV]支援 MX 整流組態上載</t>
        </is>
      </c>
      <c r="C39" s="8" t="inlineStr">
        <is>
          <t>Designer Rev1.14.0 Sprint1</t>
        </is>
      </c>
      <c r="D39" s="8" t="inlineStr">
        <is>
          <t>Task</t>
        </is>
      </c>
      <c r="E39" s="8" t="inlineStr">
        <is>
          <t>Completed</t>
        </is>
      </c>
      <c r="F39" s="8" t="n">
        <v>0</v>
      </c>
      <c r="G39" s="8" t="n">
        <v>0.2</v>
      </c>
      <c r="H39" s="8" t="n">
        <v>0.2</v>
      </c>
    </row>
    <row r="40" ht="20" customHeight="1">
      <c r="A40" s="6" t="n">
        <v>565887</v>
      </c>
      <c r="B40" s="7" t="inlineStr">
        <is>
          <t>[RD_DEV] 支援 GV50的Eth組態上載</t>
        </is>
      </c>
      <c r="C40" s="6" t="inlineStr">
        <is>
          <t>Designer Rev1.14.0 Sprint1</t>
        </is>
      </c>
      <c r="D40" s="6" t="inlineStr">
        <is>
          <t>Task</t>
        </is>
      </c>
      <c r="E40" s="6" t="inlineStr">
        <is>
          <t>Completed</t>
        </is>
      </c>
      <c r="F40" s="6" t="n">
        <v>0</v>
      </c>
      <c r="G40" s="6" t="n">
        <v>3.2</v>
      </c>
      <c r="H40" s="6" t="n">
        <v>3.2</v>
      </c>
    </row>
    <row r="41" ht="20" customHeight="1">
      <c r="A41" s="8" t="n">
        <v>565106</v>
      </c>
      <c r="B41" s="9" t="inlineStr">
        <is>
          <t>[RD_DEV] VP-E/EHS 支援組態上載前的語系切換功能</t>
        </is>
      </c>
      <c r="C41" s="8" t="inlineStr">
        <is>
          <t>Designer Rev1.14.0 Sprint1</t>
        </is>
      </c>
      <c r="D41" s="8" t="inlineStr">
        <is>
          <t>Task</t>
        </is>
      </c>
      <c r="E41" s="8" t="inlineStr">
        <is>
          <t>In Progress</t>
        </is>
      </c>
      <c r="F41" s="8" t="n">
        <v>0</v>
      </c>
      <c r="G41" s="8" t="n">
        <v>0</v>
      </c>
      <c r="H41" s="8" t="n">
        <v>0</v>
      </c>
    </row>
    <row r="42" ht="20" customHeight="1">
      <c r="A42" s="6" t="n">
        <v>565103</v>
      </c>
      <c r="B42" s="7" t="inlineStr">
        <is>
          <t>[RD_DEV] VP-E/EHS 高速組態上載</t>
        </is>
      </c>
      <c r="C42" s="6" t="inlineStr">
        <is>
          <t>Designer Rev1.14.0 Sprint2</t>
        </is>
      </c>
      <c r="D42" s="6" t="inlineStr">
        <is>
          <t>Task</t>
        </is>
      </c>
      <c r="E42" s="6" t="inlineStr">
        <is>
          <t>Assigned</t>
        </is>
      </c>
      <c r="F42" s="6" t="n">
        <v>0</v>
      </c>
      <c r="G42" s="6" t="n">
        <v>0</v>
      </c>
      <c r="H42" s="6" t="n">
        <v>0</v>
      </c>
    </row>
    <row r="43" ht="20" customHeight="1">
      <c r="A43" s="8" t="n">
        <v>562057</v>
      </c>
      <c r="B43" s="9" t="inlineStr">
        <is>
          <t>[RD_DEV] AS332EC -  ASDEV DDF 紀錄固化方案版本</t>
        </is>
      </c>
      <c r="C43" s="8" t="inlineStr">
        <is>
          <t>Designer Rev1.14.0 Sprint2</t>
        </is>
      </c>
      <c r="D43" s="8" t="inlineStr">
        <is>
          <t>Task</t>
        </is>
      </c>
      <c r="E43" s="8" t="inlineStr">
        <is>
          <t>Completed</t>
        </is>
      </c>
      <c r="F43" s="8" t="n">
        <v>0</v>
      </c>
      <c r="G43" s="8" t="n">
        <v>0</v>
      </c>
      <c r="H43" s="8" t="n">
        <v>0</v>
      </c>
    </row>
    <row r="44" ht="20" customHeight="1">
      <c r="A44" s="6" t="n">
        <v>552362</v>
      </c>
      <c r="B44" s="7" t="inlineStr">
        <is>
          <t>[RD_DEV][W3A] HW裝置比對</t>
        </is>
      </c>
      <c r="C44" s="6" t="inlineStr">
        <is>
          <t>Designer Rev1.14.0 Sprint2</t>
        </is>
      </c>
      <c r="D44" s="6" t="inlineStr">
        <is>
          <t>Task</t>
        </is>
      </c>
      <c r="E44" s="6" t="inlineStr">
        <is>
          <t>Assigned</t>
        </is>
      </c>
      <c r="F44" s="6" t="n">
        <v>0</v>
      </c>
      <c r="G44" s="6" t="n">
        <v>0</v>
      </c>
      <c r="H44" s="6" t="n">
        <v>0</v>
      </c>
    </row>
    <row r="45" ht="20" customHeight="1">
      <c r="A45" s="8" t="n">
        <v>550865</v>
      </c>
      <c r="B45" s="9" t="inlineStr">
        <is>
          <t>[RD_DEV][W3A] - 通訊: Online - 使用實機, 取得 ASD 設備狀態</t>
        </is>
      </c>
      <c r="C45" s="8" t="inlineStr">
        <is>
          <t>Designer Rev1.14.0 Sprint3</t>
        </is>
      </c>
      <c r="D45" s="8" t="inlineStr">
        <is>
          <t>Task</t>
        </is>
      </c>
      <c r="E45" s="8" t="inlineStr">
        <is>
          <t>Completed</t>
        </is>
      </c>
      <c r="F45" s="8" t="n">
        <v>16</v>
      </c>
      <c r="G45" s="8" t="n">
        <v>0</v>
      </c>
      <c r="H45" s="8" t="n">
        <v>-16</v>
      </c>
    </row>
    <row r="46" ht="20" customHeight="1">
      <c r="A46" s="6" t="n">
        <v>550860</v>
      </c>
      <c r="B46" s="7" t="inlineStr">
        <is>
          <t>[RD_DEV][W3A] HW - Online前比對取得 Checksum, 使用 Corner Communication</t>
        </is>
      </c>
      <c r="C46" s="6" t="inlineStr">
        <is>
          <t>Designer Rev1.14.0 Sprint2</t>
        </is>
      </c>
      <c r="D46" s="6" t="inlineStr">
        <is>
          <t>Task</t>
        </is>
      </c>
      <c r="E46" s="6" t="inlineStr">
        <is>
          <t>In Progress</t>
        </is>
      </c>
      <c r="F46" s="6" t="n">
        <v>0</v>
      </c>
      <c r="G46" s="6" t="n">
        <v>0</v>
      </c>
      <c r="H46" s="6" t="n">
        <v>0</v>
      </c>
    </row>
    <row r="47" ht="20" customHeight="1">
      <c r="A47" s="8" t="n">
        <v>549498</v>
      </c>
      <c r="B47" s="9" t="inlineStr">
        <is>
          <t>[RD_DEV][W3A] update W3A DDF</t>
        </is>
      </c>
      <c r="C47" s="8" t="inlineStr">
        <is>
          <t>Designer Rev1.14.0 Sprint2</t>
        </is>
      </c>
      <c r="D47" s="8" t="inlineStr">
        <is>
          <t>Task</t>
        </is>
      </c>
      <c r="E47" s="8" t="inlineStr">
        <is>
          <t>In Progress</t>
        </is>
      </c>
      <c r="F47" s="8" t="n">
        <v>16</v>
      </c>
      <c r="G47" s="8" t="n">
        <v>0</v>
      </c>
      <c r="H47" s="8" t="n">
        <v>-16</v>
      </c>
    </row>
    <row r="48" ht="20" customHeight="1">
      <c r="A48" s="6" t="n">
        <v>542232</v>
      </c>
      <c r="B48" s="7" t="inlineStr">
        <is>
          <t>[RD_DEV] 支援 GV50的高速組態上載</t>
        </is>
      </c>
      <c r="C48" s="6" t="inlineStr">
        <is>
          <t>Designer Rev1.14.0 Sprint2</t>
        </is>
      </c>
      <c r="D48" s="6" t="inlineStr">
        <is>
          <t>Task</t>
        </is>
      </c>
      <c r="E48" s="6" t="inlineStr">
        <is>
          <t>In Progress</t>
        </is>
      </c>
      <c r="F48" s="6" t="n">
        <v>0</v>
      </c>
      <c r="G48" s="6" t="n">
        <v>0</v>
      </c>
      <c r="H48" s="6" t="n">
        <v>0</v>
      </c>
    </row>
    <row r="49" ht="20" customHeight="1">
      <c r="A49" s="8" t="n">
        <v>527352</v>
      </c>
      <c r="B49" s="9" t="inlineStr">
        <is>
          <t>[RD_DEV][W3A] - Corner 參數編輯器</t>
        </is>
      </c>
      <c r="C49" s="8" t="inlineStr">
        <is>
          <t>Designer Rev1.14.0 Sprint2</t>
        </is>
      </c>
      <c r="D49" s="8" t="inlineStr">
        <is>
          <t>Task</t>
        </is>
      </c>
      <c r="E49" s="8" t="inlineStr">
        <is>
          <t>Assigned</t>
        </is>
      </c>
      <c r="F49" s="8" t="n">
        <v>0</v>
      </c>
      <c r="G49" s="8" t="n">
        <v>0</v>
      </c>
      <c r="H49" s="8" t="n">
        <v>0</v>
      </c>
    </row>
    <row r="50" ht="20" customHeight="1">
      <c r="A50" s="6" t="n">
        <v>527350</v>
      </c>
      <c r="B50" s="7" t="inlineStr">
        <is>
          <t>[RD_DEV][W3A] - 伺服參數編輯器數值讀寫</t>
        </is>
      </c>
      <c r="C50" s="6" t="inlineStr">
        <is>
          <t>Designer Rev1.14.0 Sprint2</t>
        </is>
      </c>
      <c r="D50" s="6" t="inlineStr">
        <is>
          <t>Task</t>
        </is>
      </c>
      <c r="E50" s="6" t="inlineStr">
        <is>
          <t>Assigned</t>
        </is>
      </c>
      <c r="F50" s="6" t="n">
        <v>0</v>
      </c>
      <c r="G50" s="6" t="n">
        <v>0</v>
      </c>
      <c r="H50" s="6" t="n">
        <v>0</v>
      </c>
    </row>
    <row r="51" ht="20" customHeight="1">
      <c r="A51" s="8" t="n">
        <v>527347</v>
      </c>
      <c r="B51" s="9" t="inlineStr">
        <is>
          <t>[RD_DEV][W3A] - 伺服參數編輯器 畫面與項目</t>
        </is>
      </c>
      <c r="C51" s="8" t="inlineStr">
        <is>
          <t>Designer Rev1.14.0 Sprint2</t>
        </is>
      </c>
      <c r="D51" s="8" t="inlineStr">
        <is>
          <t>Task</t>
        </is>
      </c>
      <c r="E51" s="8" t="inlineStr">
        <is>
          <t>Assigned</t>
        </is>
      </c>
      <c r="F51" s="8" t="n">
        <v>0</v>
      </c>
      <c r="G51" s="8" t="n">
        <v>0</v>
      </c>
      <c r="H51" s="8" t="n">
        <v>0</v>
      </c>
    </row>
    <row r="52" ht="20" customHeight="1">
      <c r="A52" s="6" t="n">
        <v>525431</v>
      </c>
      <c r="B52" s="7" t="inlineStr">
        <is>
          <t>[RD_DEV][W3A] - 產品包驗證</t>
        </is>
      </c>
      <c r="C52" s="6" t="inlineStr">
        <is>
          <t>Designer Rev1.14.0 Sprint2</t>
        </is>
      </c>
      <c r="D52" s="6" t="inlineStr">
        <is>
          <t>Task</t>
        </is>
      </c>
      <c r="E52" s="6" t="inlineStr">
        <is>
          <t>In Progress</t>
        </is>
      </c>
      <c r="F52" s="6" t="n">
        <v>8</v>
      </c>
      <c r="G52" s="6" t="n">
        <v>2</v>
      </c>
      <c r="H52" s="6" t="n">
        <v>-6</v>
      </c>
    </row>
    <row r="53" ht="20" customHeight="1">
      <c r="A53" s="8" t="n">
        <v>525174</v>
      </c>
      <c r="B53" s="9" t="inlineStr">
        <is>
          <t>[RD_DEV] AS332EC - Embedded Corner: 固化方案 - 更新機制的相容性</t>
        </is>
      </c>
      <c r="C53" s="8" t="inlineStr">
        <is>
          <t>Designer Rev1.14.0 Sprint2</t>
        </is>
      </c>
      <c r="D53" s="8" t="inlineStr">
        <is>
          <t>Task</t>
        </is>
      </c>
      <c r="E53" s="8" t="inlineStr">
        <is>
          <t>Completed</t>
        </is>
      </c>
      <c r="F53" s="8" t="n">
        <v>40</v>
      </c>
      <c r="G53" s="8" t="n">
        <v>0</v>
      </c>
      <c r="H53" s="8" t="n">
        <v>-40</v>
      </c>
    </row>
    <row r="54" ht="20" customHeight="1">
      <c r="A54" s="6" t="n">
        <v>521966</v>
      </c>
      <c r="B54" s="7" t="inlineStr">
        <is>
          <t>[RD_DEV] DVPSEC - 產品包驗證</t>
        </is>
      </c>
      <c r="C54" s="6" t="inlineStr">
        <is>
          <t>Designer Rev1.14.0 Sprint2</t>
        </is>
      </c>
      <c r="D54" s="6" t="inlineStr">
        <is>
          <t>Task</t>
        </is>
      </c>
      <c r="E54" s="6" t="inlineStr">
        <is>
          <t>In Progress</t>
        </is>
      </c>
      <c r="F54" s="6" t="n">
        <v>16</v>
      </c>
      <c r="G54" s="6" t="n">
        <v>0</v>
      </c>
      <c r="H54" s="6" t="n">
        <v>-16</v>
      </c>
    </row>
    <row r="55" ht="20" customHeight="1">
      <c r="A55" s="8" t="n">
        <v>499614</v>
      </c>
      <c r="B55" s="9" t="inlineStr">
        <is>
          <t>[RD_DEV] AS332EC - Corner 產品包驗證</t>
        </is>
      </c>
      <c r="C55" s="8" t="inlineStr">
        <is>
          <t>Designer Rev1.14.0 Sprint2</t>
        </is>
      </c>
      <c r="D55" s="8" t="inlineStr">
        <is>
          <t>Task</t>
        </is>
      </c>
      <c r="E55" s="8" t="inlineStr">
        <is>
          <t>In Progress</t>
        </is>
      </c>
      <c r="F55" s="8" t="n">
        <v>16</v>
      </c>
      <c r="G55" s="8" t="n">
        <v>14</v>
      </c>
      <c r="H55" s="8" t="n">
        <v>-2</v>
      </c>
    </row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</sheetData>
  <mergeCells count="1">
    <mergeCell ref="A1:H2"/>
  </mergeCells>
  <conditionalFormatting sqref="H8:H55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10" customWidth="1" min="4" max="4"/>
    <col width="18" customWidth="1" min="5" max="5"/>
    <col width="13" customWidth="1" min="6" max="6"/>
    <col width="13" customWidth="1" min="7" max="7"/>
    <col width="10" customWidth="1" min="8" max="8"/>
  </cols>
  <sheetData>
    <row r="1" ht="20" customHeight="1">
      <c r="A1" s="4" t="inlineStr">
        <is>
          <t>JENNY.HY.CHEN 陳湘筠</t>
        </is>
      </c>
    </row>
    <row r="2" ht="20" customHeight="1"/>
    <row r="3" ht="20" customHeight="1"/>
    <row r="4" ht="20" customHeight="1">
      <c r="B4" s="2" t="inlineStr">
        <is>
          <t>Estimate(h)</t>
        </is>
      </c>
      <c r="C4" s="2" t="inlineStr">
        <is>
          <t>TimeSpend(h)</t>
        </is>
      </c>
      <c r="D4" s="2" t="inlineStr">
        <is>
          <t>Utilization</t>
        </is>
      </c>
      <c r="E4" s="2" t="inlineStr">
        <is>
          <t>Tasks</t>
        </is>
      </c>
    </row>
    <row r="5" ht="20" customHeight="1">
      <c r="B5" s="3" t="inlineStr">
        <is>
          <t>176.0h</t>
        </is>
      </c>
      <c r="C5" s="3" t="inlineStr">
        <is>
          <t>70.0h</t>
        </is>
      </c>
      <c r="D5" s="3" t="inlineStr">
        <is>
          <t>39.8%</t>
        </is>
      </c>
      <c r="E5" s="3" t="inlineStr">
        <is>
          <t>32</t>
        </is>
      </c>
    </row>
    <row r="6" ht="20" customHeight="1"/>
    <row r="7" ht="24" customHeight="1">
      <c r="A7" s="5" t="inlineStr">
        <is>
          <t>ID</t>
        </is>
      </c>
      <c r="B7" s="5" t="inlineStr">
        <is>
          <t>Summary</t>
        </is>
      </c>
      <c r="C7" s="5" t="inlineStr">
        <is>
          <t>Planned For</t>
        </is>
      </c>
      <c r="D7" s="5" t="inlineStr">
        <is>
          <t>Type</t>
        </is>
      </c>
      <c r="E7" s="5" t="inlineStr">
        <is>
          <t>State</t>
        </is>
      </c>
      <c r="F7" s="5" t="inlineStr">
        <is>
          <t>Estimate(h)</t>
        </is>
      </c>
      <c r="G7" s="5" t="inlineStr">
        <is>
          <t>TimeSpend(h)</t>
        </is>
      </c>
      <c r="H7" s="5" t="inlineStr">
        <is>
          <t>Diff(h)</t>
        </is>
      </c>
    </row>
    <row r="8" ht="20" customHeight="1">
      <c r="A8" s="6" t="n">
        <v>582732</v>
      </c>
      <c r="B8" s="7" t="inlineStr">
        <is>
          <t>[RD_DEV] MX300 keypad 取值失敗時不應清空數值及單位</t>
        </is>
      </c>
      <c r="C8" s="6" t="inlineStr">
        <is>
          <t>Designer Rev1.14.0 Sprint2</t>
        </is>
      </c>
      <c r="D8" s="6" t="inlineStr">
        <is>
          <t>Task</t>
        </is>
      </c>
      <c r="E8" s="6" t="inlineStr">
        <is>
          <t>Completed</t>
        </is>
      </c>
      <c r="F8" s="6" t="n">
        <v>4</v>
      </c>
      <c r="G8" s="6" t="n">
        <v>3</v>
      </c>
      <c r="H8" s="6" t="n">
        <v>-1</v>
      </c>
    </row>
    <row r="9" ht="20" customHeight="1">
      <c r="A9" s="8" t="n">
        <v>581076</v>
      </c>
      <c r="B9" s="9" t="inlineStr">
        <is>
          <t>[RD_DEV][W3A] 擴充 0x48 錯誤訊息多國語系</t>
        </is>
      </c>
      <c r="C9" s="8" t="inlineStr">
        <is>
          <t>Designer Rev1.14.0 Sprint3</t>
        </is>
      </c>
      <c r="D9" s="8" t="inlineStr">
        <is>
          <t>Task</t>
        </is>
      </c>
      <c r="E9" s="8" t="inlineStr">
        <is>
          <t>Completed</t>
        </is>
      </c>
      <c r="F9" s="8" t="n">
        <v>8</v>
      </c>
      <c r="G9" s="8" t="n">
        <v>6</v>
      </c>
      <c r="H9" s="8" t="n">
        <v>-2</v>
      </c>
    </row>
    <row r="10" ht="20" customHeight="1">
      <c r="A10" s="6" t="n">
        <v>581075</v>
      </c>
      <c r="B10" s="7" t="inlineStr">
        <is>
          <t>[RD_DEV][W3A] 擴充 0x48 sfc3 封包格式</t>
        </is>
      </c>
      <c r="C10" s="6" t="inlineStr">
        <is>
          <t>Designer Rev1.14.0 Sprint3</t>
        </is>
      </c>
      <c r="D10" s="6" t="inlineStr">
        <is>
          <t>Task</t>
        </is>
      </c>
      <c r="E10" s="6" t="inlineStr">
        <is>
          <t>Completed</t>
        </is>
      </c>
      <c r="F10" s="6" t="n">
        <v>12</v>
      </c>
      <c r="G10" s="6" t="n">
        <v>8</v>
      </c>
      <c r="H10" s="6" t="n">
        <v>-4</v>
      </c>
    </row>
    <row r="11" ht="20" customHeight="1">
      <c r="A11" s="8" t="n">
        <v>579545</v>
      </c>
      <c r="B11" s="9" t="inlineStr">
        <is>
          <t>[RD_DEV][W3A] 示波器簡化PLC位置不合法錯誤資訊</t>
        </is>
      </c>
      <c r="C11" s="8" t="inlineStr">
        <is>
          <t>Designer Rev1.14.0 Sprint2</t>
        </is>
      </c>
      <c r="D11" s="8" t="inlineStr">
        <is>
          <t>Task</t>
        </is>
      </c>
      <c r="E11" s="8" t="inlineStr">
        <is>
          <t>Completed</t>
        </is>
      </c>
      <c r="F11" s="8" t="n">
        <v>1</v>
      </c>
      <c r="G11" s="8" t="n">
        <v>1</v>
      </c>
      <c r="H11" s="8" t="n">
        <v>0</v>
      </c>
    </row>
    <row r="12" ht="20" customHeight="1">
      <c r="A12" s="6" t="n">
        <v>578176</v>
      </c>
      <c r="B12" s="7" t="inlineStr">
        <is>
          <t>[RD_DEV][W3A] 使用 W3A 模擬器連線示波器的情況下，監控項目若有 Servo Normal 則要跳警告視窗</t>
        </is>
      </c>
      <c r="C12" s="6" t="inlineStr">
        <is>
          <t>Designer Rev1.14.0 Sprint2</t>
        </is>
      </c>
      <c r="D12" s="6" t="inlineStr">
        <is>
          <t>Task</t>
        </is>
      </c>
      <c r="E12" s="6" t="inlineStr">
        <is>
          <t>Completed</t>
        </is>
      </c>
      <c r="F12" s="6" t="n">
        <v>2</v>
      </c>
      <c r="G12" s="6" t="n">
        <v>3</v>
      </c>
      <c r="H12" s="6" t="n">
        <v>1</v>
      </c>
    </row>
    <row r="13" ht="20" customHeight="1">
      <c r="A13" s="8" t="n">
        <v>578175</v>
      </c>
      <c r="B13" s="9" t="inlineStr">
        <is>
          <t>[RD_DEV][W3A] 示波器監測項目為零的警告視窗增加易讀描述</t>
        </is>
      </c>
      <c r="C13" s="8" t="inlineStr">
        <is>
          <t>Designer Rev1.14.0 Sprint2</t>
        </is>
      </c>
      <c r="D13" s="8" t="inlineStr">
        <is>
          <t>Task</t>
        </is>
      </c>
      <c r="E13" s="8" t="inlineStr">
        <is>
          <t>Completed</t>
        </is>
      </c>
      <c r="F13" s="8" t="n">
        <v>2</v>
      </c>
      <c r="G13" s="8" t="n">
        <v>1</v>
      </c>
      <c r="H13" s="8" t="n">
        <v>-1</v>
      </c>
    </row>
    <row r="14" ht="20" customHeight="1">
      <c r="A14" s="6" t="n">
        <v>578174</v>
      </c>
      <c r="B14" s="7" t="inlineStr">
        <is>
          <t>[RD_DEV][W3A] 進入多頻道模式時，應禁用各自座標系</t>
        </is>
      </c>
      <c r="C14" s="6" t="inlineStr">
        <is>
          <t>Designer Rev1.14.0 Sprint2</t>
        </is>
      </c>
      <c r="D14" s="6" t="inlineStr">
        <is>
          <t>Task</t>
        </is>
      </c>
      <c r="E14" s="6" t="inlineStr">
        <is>
          <t>Completed</t>
        </is>
      </c>
      <c r="F14" s="6" t="n">
        <v>1</v>
      </c>
      <c r="G14" s="6" t="n">
        <v>1</v>
      </c>
      <c r="H14" s="6" t="n">
        <v>0</v>
      </c>
    </row>
    <row r="15" ht="20" customHeight="1">
      <c r="A15" s="8" t="n">
        <v>578171</v>
      </c>
      <c r="B15" s="9" t="inlineStr">
        <is>
          <t>[RD_DEV][W3A] 多通道示波器監控時，多通道 Y 軸沒有自動調整範圍</t>
        </is>
      </c>
      <c r="C15" s="8" t="inlineStr">
        <is>
          <t>Designer Rev1.14.0 Sprint2</t>
        </is>
      </c>
      <c r="D15" s="8" t="inlineStr">
        <is>
          <t>Task</t>
        </is>
      </c>
      <c r="E15" s="8" t="inlineStr">
        <is>
          <t>Completed</t>
        </is>
      </c>
      <c r="F15" s="8" t="n">
        <v>2</v>
      </c>
      <c r="G15" s="8" t="n">
        <v>2</v>
      </c>
      <c r="H15" s="8" t="n">
        <v>0</v>
      </c>
    </row>
    <row r="16" ht="20" customHeight="1">
      <c r="A16" s="6" t="n">
        <v>577486</v>
      </c>
      <c r="B16" s="7" t="inlineStr">
        <is>
          <t>[RD_DEV] APF3000_示波器 (離線功能)</t>
        </is>
      </c>
      <c r="C16" s="6" t="inlineStr">
        <is>
          <t>Designer Rev1.14.0 Sprint2</t>
        </is>
      </c>
      <c r="D16" s="6" t="inlineStr">
        <is>
          <t>Task</t>
        </is>
      </c>
      <c r="E16" s="6" t="inlineStr">
        <is>
          <t>Completed</t>
        </is>
      </c>
      <c r="F16" s="6" t="n">
        <v>0</v>
      </c>
      <c r="G16" s="6" t="n">
        <v>1</v>
      </c>
      <c r="H16" s="6" t="n">
        <v>1</v>
      </c>
    </row>
    <row r="17" ht="20" customHeight="1">
      <c r="A17" s="8" t="n">
        <v>577473</v>
      </c>
      <c r="B17" s="9" t="inlineStr">
        <is>
          <t>[RD_DEV] VA3000_示波器 (離線功能)</t>
        </is>
      </c>
      <c r="C17" s="8" t="inlineStr">
        <is>
          <t>Designer Rev1.14.0 Sprint2</t>
        </is>
      </c>
      <c r="D17" s="8" t="inlineStr">
        <is>
          <t>Task</t>
        </is>
      </c>
      <c r="E17" s="8" t="inlineStr">
        <is>
          <t>Completed</t>
        </is>
      </c>
      <c r="F17" s="8" t="n">
        <v>0</v>
      </c>
      <c r="G17" s="8" t="n">
        <v>1</v>
      </c>
      <c r="H17" s="8" t="n">
        <v>1</v>
      </c>
    </row>
    <row r="18" ht="20" customHeight="1">
      <c r="A18" s="6" t="n">
        <v>576755</v>
      </c>
      <c r="B18" s="7" t="inlineStr">
        <is>
          <t>[RD_DEV] 示波器停用動畫功能以提升效能，減少不必要運算</t>
        </is>
      </c>
      <c r="C18" s="6" t="inlineStr">
        <is>
          <t>Designer Rev1.14.0 Sprint1</t>
        </is>
      </c>
      <c r="D18" s="6" t="inlineStr">
        <is>
          <t>Task</t>
        </is>
      </c>
      <c r="E18" s="6" t="inlineStr">
        <is>
          <t>Completed</t>
        </is>
      </c>
      <c r="F18" s="6" t="n">
        <v>2</v>
      </c>
      <c r="G18" s="6" t="n">
        <v>2</v>
      </c>
      <c r="H18" s="6" t="n">
        <v>0</v>
      </c>
    </row>
    <row r="19" ht="20" customHeight="1">
      <c r="A19" s="8" t="n">
        <v>576749</v>
      </c>
      <c r="B19" s="9" t="inlineStr">
        <is>
          <t>[RD_DEV] ASD 示波器加入 undo/redo 功能</t>
        </is>
      </c>
      <c r="C19" s="8" t="inlineStr">
        <is>
          <t>Designer Rev1.14.0 Sprint2</t>
        </is>
      </c>
      <c r="D19" s="8" t="inlineStr">
        <is>
          <t>Task</t>
        </is>
      </c>
      <c r="E19" s="8" t="inlineStr">
        <is>
          <t>Completed</t>
        </is>
      </c>
      <c r="F19" s="8" t="n">
        <v>2</v>
      </c>
      <c r="G19" s="8" t="n">
        <v>0</v>
      </c>
      <c r="H19" s="8" t="n">
        <v>-2</v>
      </c>
    </row>
    <row r="20" ht="20" customHeight="1">
      <c r="A20" s="6" t="n">
        <v>576748</v>
      </c>
      <c r="B20" s="7" t="inlineStr">
        <is>
          <t>[RD_DEV] PLC logger &amp; Tracer 示波器加入 undo/redo 功能</t>
        </is>
      </c>
      <c r="C20" s="6" t="inlineStr">
        <is>
          <t>Designer Rev1.14.0 Sprint2</t>
        </is>
      </c>
      <c r="D20" s="6" t="inlineStr">
        <is>
          <t>Task</t>
        </is>
      </c>
      <c r="E20" s="6" t="inlineStr">
        <is>
          <t>Completed</t>
        </is>
      </c>
      <c r="F20" s="6" t="n">
        <v>2</v>
      </c>
      <c r="G20" s="6" t="n">
        <v>2</v>
      </c>
      <c r="H20" s="6" t="n">
        <v>0</v>
      </c>
    </row>
    <row r="21" ht="20" customHeight="1">
      <c r="A21" s="8" t="n">
        <v>576747</v>
      </c>
      <c r="B21" s="9" t="inlineStr">
        <is>
          <t>[RD_DEV][W3A] W3A 示波器加入 undo/redo 功能</t>
        </is>
      </c>
      <c r="C21" s="8" t="inlineStr">
        <is>
          <t>Designer Rev1.14.0 Sprint2</t>
        </is>
      </c>
      <c r="D21" s="8" t="inlineStr">
        <is>
          <t>Task</t>
        </is>
      </c>
      <c r="E21" s="8" t="inlineStr">
        <is>
          <t>Completed</t>
        </is>
      </c>
      <c r="F21" s="8" t="n">
        <v>8</v>
      </c>
      <c r="G21" s="8" t="n">
        <v>10</v>
      </c>
      <c r="H21" s="8" t="n">
        <v>2</v>
      </c>
    </row>
    <row r="22" ht="20" customHeight="1">
      <c r="A22" s="6" t="n">
        <v>576746</v>
      </c>
      <c r="B22" s="7" t="inlineStr">
        <is>
          <t>[RD_DEV] VFD 示波器加入 undo/redo 功能</t>
        </is>
      </c>
      <c r="C22" s="6" t="inlineStr">
        <is>
          <t>Designer Rev1.14.0 Sprint2</t>
        </is>
      </c>
      <c r="D22" s="6" t="inlineStr">
        <is>
          <t>Task</t>
        </is>
      </c>
      <c r="E22" s="6" t="inlineStr">
        <is>
          <t>Completed</t>
        </is>
      </c>
      <c r="F22" s="6" t="n">
        <v>4</v>
      </c>
      <c r="G22" s="6" t="n">
        <v>2</v>
      </c>
      <c r="H22" s="6" t="n">
        <v>-2</v>
      </c>
    </row>
    <row r="23" ht="20" customHeight="1">
      <c r="A23" s="8" t="n">
        <v>576740</v>
      </c>
      <c r="B23" s="9" t="inlineStr">
        <is>
          <t>[RD_DEV][W3A] 多畫布加入 visibleRange 變更事件</t>
        </is>
      </c>
      <c r="C23" s="8" t="inlineStr">
        <is>
          <t>Designer Rev1.14.0 Sprint2</t>
        </is>
      </c>
      <c r="D23" s="8" t="inlineStr">
        <is>
          <t>Task</t>
        </is>
      </c>
      <c r="E23" s="8" t="inlineStr">
        <is>
          <t>Completed</t>
        </is>
      </c>
      <c r="F23" s="8" t="n">
        <v>2</v>
      </c>
      <c r="G23" s="8" t="n">
        <v>1</v>
      </c>
      <c r="H23" s="8" t="n">
        <v>-1</v>
      </c>
    </row>
    <row r="24" ht="20" customHeight="1">
      <c r="A24" s="6" t="n">
        <v>575846</v>
      </c>
      <c r="B24" s="7" t="inlineStr">
        <is>
          <t>[RD_DEV][W3A] 示波器增加最小、最大、平均值顯示欄位</t>
        </is>
      </c>
      <c r="C24" s="6" t="inlineStr">
        <is>
          <t>Designer Rev1.14.0 Plan</t>
        </is>
      </c>
      <c r="D24" s="6" t="inlineStr">
        <is>
          <t>Task</t>
        </is>
      </c>
      <c r="E24" s="6" t="inlineStr">
        <is>
          <t>Completed</t>
        </is>
      </c>
      <c r="F24" s="6" t="n">
        <v>8</v>
      </c>
      <c r="G24" s="6" t="n">
        <v>2</v>
      </c>
      <c r="H24" s="6" t="n">
        <v>-6</v>
      </c>
    </row>
    <row r="25" ht="20" customHeight="1">
      <c r="A25" s="8" t="n">
        <v>574840</v>
      </c>
      <c r="B25" s="9" t="inlineStr">
        <is>
          <t>[RD_DEV] MA500_通訊測試工具</t>
        </is>
      </c>
      <c r="C25" s="8" t="inlineStr">
        <is>
          <t>Designer Rev1.14.0 Sprint3</t>
        </is>
      </c>
      <c r="D25" s="8" t="inlineStr">
        <is>
          <t>Task</t>
        </is>
      </c>
      <c r="E25" s="8" t="inlineStr">
        <is>
          <t>Completed</t>
        </is>
      </c>
      <c r="F25" s="8" t="n">
        <v>4</v>
      </c>
      <c r="G25" s="8" t="n">
        <v>1</v>
      </c>
      <c r="H25" s="8" t="n">
        <v>-3</v>
      </c>
    </row>
    <row r="26" ht="20" customHeight="1">
      <c r="A26" s="6" t="n">
        <v>574839</v>
      </c>
      <c r="B26" s="7" t="inlineStr">
        <is>
          <t>[RD_DEV] MA500_示波器</t>
        </is>
      </c>
      <c r="C26" s="6" t="inlineStr">
        <is>
          <t>Designer Rev1.14.0 Sprint2</t>
        </is>
      </c>
      <c r="D26" s="6" t="inlineStr">
        <is>
          <t>Task</t>
        </is>
      </c>
      <c r="E26" s="6" t="inlineStr">
        <is>
          <t>Completed</t>
        </is>
      </c>
      <c r="F26" s="6" t="n">
        <v>8</v>
      </c>
      <c r="G26" s="6" t="n">
        <v>1</v>
      </c>
      <c r="H26" s="6" t="n">
        <v>-7</v>
      </c>
    </row>
    <row r="27" ht="20" customHeight="1">
      <c r="A27" s="8" t="n">
        <v>574838</v>
      </c>
      <c r="B27" s="9" t="inlineStr">
        <is>
          <t>[RD_DEV] MA500_數位操作器</t>
        </is>
      </c>
      <c r="C27" s="8" t="inlineStr">
        <is>
          <t>Designer Rev1.14.0 Sprint3</t>
        </is>
      </c>
      <c r="D27" s="8" t="inlineStr">
        <is>
          <t>Task</t>
        </is>
      </c>
      <c r="E27" s="8" t="inlineStr">
        <is>
          <t>Completed</t>
        </is>
      </c>
      <c r="F27" s="8" t="n">
        <v>4</v>
      </c>
      <c r="G27" s="8" t="n">
        <v>2</v>
      </c>
      <c r="H27" s="8" t="n">
        <v>-2</v>
      </c>
    </row>
    <row r="28" ht="20" customHeight="1">
      <c r="A28" s="6" t="n">
        <v>574826</v>
      </c>
      <c r="B28" s="7" t="inlineStr">
        <is>
          <t>[RD_DEV] APF3000_通訊測試工具</t>
        </is>
      </c>
      <c r="C28" s="6" t="inlineStr">
        <is>
          <t>Designer Rev1.14.0 Sprint3</t>
        </is>
      </c>
      <c r="D28" s="6" t="inlineStr">
        <is>
          <t>Task</t>
        </is>
      </c>
      <c r="E28" s="6" t="inlineStr">
        <is>
          <t>Assigned</t>
        </is>
      </c>
      <c r="F28" s="6" t="n">
        <v>4</v>
      </c>
      <c r="G28" s="6" t="n">
        <v>0</v>
      </c>
      <c r="H28" s="6" t="n">
        <v>-4</v>
      </c>
    </row>
    <row r="29" ht="20" customHeight="1">
      <c r="A29" s="8" t="n">
        <v>574823</v>
      </c>
      <c r="B29" s="9" t="inlineStr">
        <is>
          <t>[RD_DEV] APF3000_示波器</t>
        </is>
      </c>
      <c r="C29" s="8" t="inlineStr">
        <is>
          <t>Designer Rev1.14.0 Sprint3</t>
        </is>
      </c>
      <c r="D29" s="8" t="inlineStr">
        <is>
          <t>Task</t>
        </is>
      </c>
      <c r="E29" s="8" t="inlineStr">
        <is>
          <t>Assigned</t>
        </is>
      </c>
      <c r="F29" s="8" t="n">
        <v>8</v>
      </c>
      <c r="G29" s="8" t="n">
        <v>0</v>
      </c>
      <c r="H29" s="8" t="n">
        <v>-8</v>
      </c>
    </row>
    <row r="30" ht="20" customHeight="1">
      <c r="A30" s="6" t="n">
        <v>574822</v>
      </c>
      <c r="B30" s="7" t="inlineStr">
        <is>
          <t>[RD_DEV] APF3000_數位操作器</t>
        </is>
      </c>
      <c r="C30" s="6" t="inlineStr">
        <is>
          <t>Designer Rev1.14.0 Sprint3</t>
        </is>
      </c>
      <c r="D30" s="6" t="inlineStr">
        <is>
          <t>Task</t>
        </is>
      </c>
      <c r="E30" s="6" t="inlineStr">
        <is>
          <t>Assigned</t>
        </is>
      </c>
      <c r="F30" s="6" t="n">
        <v>4</v>
      </c>
      <c r="G30" s="6" t="n">
        <v>0</v>
      </c>
      <c r="H30" s="6" t="n">
        <v>-4</v>
      </c>
    </row>
    <row r="31" ht="20" customHeight="1">
      <c r="A31" s="8" t="n">
        <v>574221</v>
      </c>
      <c r="B31" s="9" t="inlineStr">
        <is>
          <t>[RD_DEV] W3A 多節點示波器 (1.14)</t>
        </is>
      </c>
      <c r="C31" s="8" t="inlineStr">
        <is>
          <t>Designer Rev1.14.0 Plan</t>
        </is>
      </c>
      <c r="D31" s="8" t="inlineStr">
        <is>
          <t>Task</t>
        </is>
      </c>
      <c r="E31" s="8" t="inlineStr">
        <is>
          <t>Assigned</t>
        </is>
      </c>
      <c r="F31" s="8" t="n">
        <v>0</v>
      </c>
      <c r="G31" s="8" t="n">
        <v>0</v>
      </c>
      <c r="H31" s="8" t="n">
        <v>0</v>
      </c>
    </row>
    <row r="32" ht="20" customHeight="1">
      <c r="A32" s="6" t="n">
        <v>573066</v>
      </c>
      <c r="B32" s="7" t="inlineStr">
        <is>
          <t>[RD_DEV] 架構圖更新 (Oscilloscope part) - DIADesigner v1.14.0</t>
        </is>
      </c>
      <c r="C32" s="6" t="inlineStr">
        <is>
          <t>Rev1.14.0 DIADesigner</t>
        </is>
      </c>
      <c r="D32" s="6" t="inlineStr">
        <is>
          <t>Task</t>
        </is>
      </c>
      <c r="E32" s="6" t="inlineStr">
        <is>
          <t>Assigned</t>
        </is>
      </c>
      <c r="F32" s="6" t="n">
        <v>0</v>
      </c>
      <c r="G32" s="6" t="n">
        <v>0</v>
      </c>
      <c r="H32" s="6" t="n">
        <v>0</v>
      </c>
    </row>
    <row r="33" ht="20" customHeight="1">
      <c r="A33" s="8" t="n">
        <v>570316</v>
      </c>
      <c r="B33" s="9" t="inlineStr">
        <is>
          <t>[RD_DEV][W3A] 示波器停止時最小、最大、平均值隨畫面範圍內的數值變化</t>
        </is>
      </c>
      <c r="C33" s="8" t="inlineStr">
        <is>
          <t>Designer Rev1.14.0 Plan</t>
        </is>
      </c>
      <c r="D33" s="8" t="inlineStr">
        <is>
          <t>Task</t>
        </is>
      </c>
      <c r="E33" s="8" t="inlineStr">
        <is>
          <t>Completed</t>
        </is>
      </c>
      <c r="F33" s="8" t="n">
        <v>16</v>
      </c>
      <c r="G33" s="8" t="n">
        <v>6</v>
      </c>
      <c r="H33" s="8" t="n">
        <v>-10</v>
      </c>
    </row>
    <row r="34" ht="20" customHeight="1">
      <c r="A34" s="6" t="n">
        <v>540114</v>
      </c>
      <c r="B34" s="7" t="inlineStr">
        <is>
          <t>[RD_DEV][W3A] 示波器導入VFD示波器的事件觸發功能</t>
        </is>
      </c>
      <c r="C34" s="6" t="inlineStr">
        <is>
          <t>Designer Rev1.14.0 Plan</t>
        </is>
      </c>
      <c r="D34" s="6" t="inlineStr">
        <is>
          <t>Task</t>
        </is>
      </c>
      <c r="E34" s="6" t="inlineStr">
        <is>
          <t>In Progress</t>
        </is>
      </c>
      <c r="F34" s="6" t="n">
        <v>16</v>
      </c>
      <c r="G34" s="6" t="n">
        <v>10</v>
      </c>
      <c r="H34" s="6" t="n">
        <v>-6</v>
      </c>
    </row>
    <row r="35" ht="20" customHeight="1">
      <c r="A35" s="8" t="n">
        <v>528310</v>
      </c>
      <c r="B35" s="9" t="inlineStr">
        <is>
          <t>[RD_DEV] 調機精靈_Development_示波器相關功能_波形存檔</t>
        </is>
      </c>
      <c r="C35" s="8" t="inlineStr">
        <is>
          <t>Designer Rev1.14.0 Plan</t>
        </is>
      </c>
      <c r="D35" s="8" t="inlineStr">
        <is>
          <t>Task</t>
        </is>
      </c>
      <c r="E35" s="8" t="inlineStr">
        <is>
          <t>In Progress</t>
        </is>
      </c>
      <c r="F35" s="8" t="n">
        <v>24</v>
      </c>
      <c r="G35" s="8" t="n">
        <v>0</v>
      </c>
      <c r="H35" s="8" t="n">
        <v>-24</v>
      </c>
    </row>
    <row r="36" ht="20" customHeight="1">
      <c r="A36" s="6" t="n">
        <v>526437</v>
      </c>
      <c r="B36" s="7" t="inlineStr">
        <is>
          <t>[RD_DEV][W3A] Corner 示波器各CH獨立頻寬操作 - 配合機種DDF來呈現取樣頻率清單</t>
        </is>
      </c>
      <c r="C36" s="6" t="inlineStr">
        <is>
          <t>Designer Rev1.14.0 Sprint2</t>
        </is>
      </c>
      <c r="D36" s="6" t="inlineStr">
        <is>
          <t>Task</t>
        </is>
      </c>
      <c r="E36" s="6" t="inlineStr">
        <is>
          <t>Completed</t>
        </is>
      </c>
      <c r="F36" s="6" t="n">
        <v>4</v>
      </c>
      <c r="G36" s="6" t="n">
        <v>4</v>
      </c>
      <c r="H36" s="6" t="n">
        <v>0</v>
      </c>
    </row>
    <row r="37" ht="20" customHeight="1">
      <c r="A37" s="8" t="n">
        <v>505453</v>
      </c>
      <c r="B37" s="9" t="inlineStr">
        <is>
          <t>[RD_DEV] VA3000_通訊測試工具</t>
        </is>
      </c>
      <c r="C37" s="8" t="inlineStr">
        <is>
          <t>Designer Rev1.14.0 Sprint3</t>
        </is>
      </c>
      <c r="D37" s="8" t="inlineStr">
        <is>
          <t>Task</t>
        </is>
      </c>
      <c r="E37" s="8" t="inlineStr">
        <is>
          <t>Assigned</t>
        </is>
      </c>
      <c r="F37" s="8" t="n">
        <v>8</v>
      </c>
      <c r="G37" s="8" t="n">
        <v>0</v>
      </c>
      <c r="H37" s="8" t="n">
        <v>-8</v>
      </c>
    </row>
    <row r="38" ht="20" customHeight="1">
      <c r="A38" s="6" t="n">
        <v>505451</v>
      </c>
      <c r="B38" s="7" t="inlineStr">
        <is>
          <t>[RD_DEV] VA3000_示波器</t>
        </is>
      </c>
      <c r="C38" s="6" t="inlineStr">
        <is>
          <t>Designer Rev1.14.0 Sprint3</t>
        </is>
      </c>
      <c r="D38" s="6" t="inlineStr">
        <is>
          <t>Task</t>
        </is>
      </c>
      <c r="E38" s="6" t="inlineStr">
        <is>
          <t>Assigned</t>
        </is>
      </c>
      <c r="F38" s="6" t="n">
        <v>8</v>
      </c>
      <c r="G38" s="6" t="n">
        <v>0</v>
      </c>
      <c r="H38" s="6" t="n">
        <v>-8</v>
      </c>
    </row>
    <row r="39" ht="20" customHeight="1">
      <c r="A39" s="8" t="n">
        <v>505449</v>
      </c>
      <c r="B39" s="9" t="inlineStr">
        <is>
          <t>[RD_DEV] VA3000_數位操作器</t>
        </is>
      </c>
      <c r="C39" s="8" t="inlineStr">
        <is>
          <t>Designer Rev1.14.0 Sprint3</t>
        </is>
      </c>
      <c r="D39" s="8" t="inlineStr">
        <is>
          <t>Task</t>
        </is>
      </c>
      <c r="E39" s="8" t="inlineStr">
        <is>
          <t>Assigned</t>
        </is>
      </c>
      <c r="F39" s="8" t="n">
        <v>8</v>
      </c>
      <c r="G39" s="8" t="n">
        <v>0</v>
      </c>
      <c r="H39" s="8" t="n">
        <v>-8</v>
      </c>
    </row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</sheetData>
  <mergeCells count="1">
    <mergeCell ref="A1:H2"/>
  </mergeCells>
  <conditionalFormatting sqref="H8:H39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10" customWidth="1" min="4" max="4"/>
    <col width="18" customWidth="1" min="5" max="5"/>
    <col width="13" customWidth="1" min="6" max="6"/>
    <col width="13" customWidth="1" min="7" max="7"/>
    <col width="10" customWidth="1" min="8" max="8"/>
  </cols>
  <sheetData>
    <row r="1" ht="20" customHeight="1">
      <c r="A1" s="4" t="inlineStr">
        <is>
          <t>JOHNNY.MC.YEH 葉明勳</t>
        </is>
      </c>
    </row>
    <row r="2" ht="20" customHeight="1"/>
    <row r="3" ht="20" customHeight="1"/>
    <row r="4" ht="20" customHeight="1">
      <c r="B4" s="2" t="inlineStr">
        <is>
          <t>Estimate(h)</t>
        </is>
      </c>
      <c r="C4" s="2" t="inlineStr">
        <is>
          <t>TimeSpend(h)</t>
        </is>
      </c>
      <c r="D4" s="2" t="inlineStr">
        <is>
          <t>Utilization</t>
        </is>
      </c>
      <c r="E4" s="2" t="inlineStr">
        <is>
          <t>Tasks</t>
        </is>
      </c>
    </row>
    <row r="5" ht="20" customHeight="1">
      <c r="B5" s="3" t="inlineStr">
        <is>
          <t>308.0h</t>
        </is>
      </c>
      <c r="C5" s="3" t="inlineStr">
        <is>
          <t>4.0h</t>
        </is>
      </c>
      <c r="D5" s="3" t="inlineStr">
        <is>
          <t>1.3%</t>
        </is>
      </c>
      <c r="E5" s="3" t="inlineStr">
        <is>
          <t>18</t>
        </is>
      </c>
    </row>
    <row r="6" ht="20" customHeight="1"/>
    <row r="7" ht="24" customHeight="1">
      <c r="A7" s="5" t="inlineStr">
        <is>
          <t>ID</t>
        </is>
      </c>
      <c r="B7" s="5" t="inlineStr">
        <is>
          <t>Summary</t>
        </is>
      </c>
      <c r="C7" s="5" t="inlineStr">
        <is>
          <t>Planned For</t>
        </is>
      </c>
      <c r="D7" s="5" t="inlineStr">
        <is>
          <t>Type</t>
        </is>
      </c>
      <c r="E7" s="5" t="inlineStr">
        <is>
          <t>State</t>
        </is>
      </c>
      <c r="F7" s="5" t="inlineStr">
        <is>
          <t>Estimate(h)</t>
        </is>
      </c>
      <c r="G7" s="5" t="inlineStr">
        <is>
          <t>TimeSpend(h)</t>
        </is>
      </c>
      <c r="H7" s="5" t="inlineStr">
        <is>
          <t>Diff(h)</t>
        </is>
      </c>
    </row>
    <row r="8" ht="20" customHeight="1">
      <c r="A8" s="6" t="n">
        <v>580402</v>
      </c>
      <c r="B8" s="7" t="inlineStr">
        <is>
          <t>[JIRA] (調適) [IABGVOC-1705] 示波器 Monitor Type 導入A2架構的 Monitor 選項</t>
        </is>
      </c>
      <c r="C8" s="6" t="inlineStr">
        <is>
          <t>Designer Rev1.14.0 Sprint2</t>
        </is>
      </c>
      <c r="D8" s="6" t="inlineStr">
        <is>
          <t>Task</t>
        </is>
      </c>
      <c r="E8" s="6" t="inlineStr">
        <is>
          <t>Completed</t>
        </is>
      </c>
      <c r="F8" s="6" t="n">
        <v>16</v>
      </c>
      <c r="G8" s="6" t="n">
        <v>0</v>
      </c>
      <c r="H8" s="6" t="n">
        <v>-16</v>
      </c>
    </row>
    <row r="9" ht="20" customHeight="1">
      <c r="A9" s="8" t="n">
        <v>580401</v>
      </c>
      <c r="B9" s="9" t="inlineStr">
        <is>
          <t>[JIRA] (調適) [IABGVOC-1705] 示波器 Monitor Type 導入A2架構的 Adress 選項</t>
        </is>
      </c>
      <c r="C9" s="8" t="inlineStr">
        <is>
          <t>Designer Rev1.14.0 Sprint2</t>
        </is>
      </c>
      <c r="D9" s="8" t="inlineStr">
        <is>
          <t>Task</t>
        </is>
      </c>
      <c r="E9" s="8" t="inlineStr">
        <is>
          <t>Completed</t>
        </is>
      </c>
      <c r="F9" s="8" t="n">
        <v>16</v>
      </c>
      <c r="G9" s="8" t="n">
        <v>0</v>
      </c>
      <c r="H9" s="8" t="n">
        <v>-16</v>
      </c>
    </row>
    <row r="10" ht="20" customHeight="1">
      <c r="A10" s="6" t="n">
        <v>580400</v>
      </c>
      <c r="B10" s="7" t="inlineStr">
        <is>
          <t>[JIRA] (調適) [IABGVOC-1705] 示波器 Monitor Type 導入A2架構的 CANopen 選項</t>
        </is>
      </c>
      <c r="C10" s="6" t="inlineStr">
        <is>
          <t>Designer Rev1.14.0 Sprint2</t>
        </is>
      </c>
      <c r="D10" s="6" t="inlineStr">
        <is>
          <t>Task</t>
        </is>
      </c>
      <c r="E10" s="6" t="inlineStr">
        <is>
          <t>Completed</t>
        </is>
      </c>
      <c r="F10" s="6" t="n">
        <v>16</v>
      </c>
      <c r="G10" s="6" t="n">
        <v>0</v>
      </c>
      <c r="H10" s="6" t="n">
        <v>-16</v>
      </c>
    </row>
    <row r="11" ht="20" customHeight="1">
      <c r="A11" s="8" t="n">
        <v>580235</v>
      </c>
      <c r="B11" s="9" t="inlineStr">
        <is>
          <t>[JIRA] (調適) [IABGVOC-1705] 示波器 Monitor Type 導入A2架構的 Parameter 選項</t>
        </is>
      </c>
      <c r="C11" s="8" t="inlineStr">
        <is>
          <t>Designer Rev1.14.0 Sprint2</t>
        </is>
      </c>
      <c r="D11" s="8" t="inlineStr">
        <is>
          <t>Task</t>
        </is>
      </c>
      <c r="E11" s="8" t="inlineStr">
        <is>
          <t>Completed</t>
        </is>
      </c>
      <c r="F11" s="8" t="n">
        <v>16</v>
      </c>
      <c r="G11" s="8" t="n">
        <v>0</v>
      </c>
      <c r="H11" s="8" t="n">
        <v>-16</v>
      </c>
    </row>
    <row r="12" ht="20" customHeight="1">
      <c r="A12" s="6" t="n">
        <v>578133</v>
      </c>
      <c r="B12" s="7" t="inlineStr">
        <is>
          <t>[RD_DEV] AS332EC - 下載管理員: 下載  App Compact Bin 修改觸發時間點</t>
        </is>
      </c>
      <c r="C12" s="6" t="inlineStr">
        <is>
          <t>Designer Rev1.14.0 Sprint2</t>
        </is>
      </c>
      <c r="D12" s="6" t="inlineStr">
        <is>
          <t>Task</t>
        </is>
      </c>
      <c r="E12" s="6" t="inlineStr">
        <is>
          <t>In Progress</t>
        </is>
      </c>
      <c r="F12" s="6" t="n">
        <v>24</v>
      </c>
      <c r="G12" s="6" t="n">
        <v>0</v>
      </c>
      <c r="H12" s="6" t="n">
        <v>-24</v>
      </c>
    </row>
    <row r="13" ht="20" customHeight="1">
      <c r="A13" s="8" t="n">
        <v>577623</v>
      </c>
      <c r="B13" s="9" t="inlineStr">
        <is>
          <t>[RD_DEV] DVP16SV3_示波器</t>
        </is>
      </c>
      <c r="C13" s="8" t="inlineStr">
        <is>
          <t>Designer Rev1.14.0 Sprint3</t>
        </is>
      </c>
      <c r="D13" s="8" t="inlineStr">
        <is>
          <t>Task</t>
        </is>
      </c>
      <c r="E13" s="8" t="inlineStr">
        <is>
          <t>Completed</t>
        </is>
      </c>
      <c r="F13" s="8" t="n">
        <v>4</v>
      </c>
      <c r="G13" s="8" t="n">
        <v>4</v>
      </c>
      <c r="H13" s="8" t="n">
        <v>0</v>
      </c>
    </row>
    <row r="14" ht="20" customHeight="1">
      <c r="A14" s="6" t="n">
        <v>576932</v>
      </c>
      <c r="B14" s="7" t="inlineStr">
        <is>
          <t>[RD_DEV] AS332EC - 下載管理員: 下載 App Compact Bin 時, 須帶入 Program Checksum</t>
        </is>
      </c>
      <c r="C14" s="6" t="inlineStr">
        <is>
          <t>Designer Rev1.14.0 Sprint2</t>
        </is>
      </c>
      <c r="D14" s="6" t="inlineStr">
        <is>
          <t>Task</t>
        </is>
      </c>
      <c r="E14" s="6" t="inlineStr">
        <is>
          <t>Completed</t>
        </is>
      </c>
      <c r="F14" s="6" t="n">
        <v>24</v>
      </c>
      <c r="G14" s="6" t="n">
        <v>0</v>
      </c>
      <c r="H14" s="6" t="n">
        <v>-24</v>
      </c>
    </row>
    <row r="15" ht="20" customHeight="1">
      <c r="A15" s="8" t="n">
        <v>575269</v>
      </c>
      <c r="B15" s="9" t="inlineStr">
        <is>
          <t>[RD_DEV] ASD_DLL權限申請與驗證</t>
        </is>
      </c>
      <c r="C15" s="8" t="inlineStr">
        <is>
          <t>Designer Rev1.14.0 Sprint2</t>
        </is>
      </c>
      <c r="D15" s="8" t="inlineStr">
        <is>
          <t>Task</t>
        </is>
      </c>
      <c r="E15" s="8" t="inlineStr">
        <is>
          <t>Completed</t>
        </is>
      </c>
      <c r="F15" s="8" t="n">
        <v>8</v>
      </c>
      <c r="G15" s="8" t="n">
        <v>0</v>
      </c>
      <c r="H15" s="8" t="n">
        <v>-8</v>
      </c>
    </row>
    <row r="16" ht="20" customHeight="1">
      <c r="A16" s="6" t="n">
        <v>575205</v>
      </c>
      <c r="B16" s="7" t="inlineStr">
        <is>
          <t>[RD_DEV](B5 Oscilloscope)ASD_DLL COM Port API串接</t>
        </is>
      </c>
      <c r="C16" s="6" t="inlineStr">
        <is>
          <t>Designer Rev1.14.0 Sprint2</t>
        </is>
      </c>
      <c r="D16" s="6" t="inlineStr">
        <is>
          <t>Task</t>
        </is>
      </c>
      <c r="E16" s="6" t="inlineStr">
        <is>
          <t>Assigned</t>
        </is>
      </c>
      <c r="F16" s="6" t="n">
        <v>40</v>
      </c>
      <c r="G16" s="6" t="n">
        <v>0</v>
      </c>
      <c r="H16" s="6" t="n">
        <v>-40</v>
      </c>
    </row>
    <row r="17" ht="20" customHeight="1">
      <c r="A17" s="8" t="n">
        <v>575198</v>
      </c>
      <c r="B17" s="9" t="inlineStr">
        <is>
          <t>[RD_DEV] B5 專案下載韌體除錯</t>
        </is>
      </c>
      <c r="C17" s="8" t="inlineStr">
        <is>
          <t>Designer Rev1.14.0 Sprint2</t>
        </is>
      </c>
      <c r="D17" s="8" t="inlineStr">
        <is>
          <t>Task</t>
        </is>
      </c>
      <c r="E17" s="8" t="inlineStr">
        <is>
          <t>Completed</t>
        </is>
      </c>
      <c r="F17" s="8" t="n">
        <v>24</v>
      </c>
      <c r="G17" s="8" t="n">
        <v>0</v>
      </c>
      <c r="H17" s="8" t="n">
        <v>-24</v>
      </c>
    </row>
    <row r="18" ht="20" customHeight="1">
      <c r="A18" s="6" t="n">
        <v>575176</v>
      </c>
      <c r="B18" s="7" t="inlineStr">
        <is>
          <t>[RD_DEV] DVPSEC - 上載管理員: 觸發上載  App Compact Bin</t>
        </is>
      </c>
      <c r="C18" s="6" t="inlineStr">
        <is>
          <t>Rev1.14.0 DIADesigner</t>
        </is>
      </c>
      <c r="D18" s="6" t="inlineStr">
        <is>
          <t>Task</t>
        </is>
      </c>
      <c r="E18" s="6" t="inlineStr">
        <is>
          <t>Completed</t>
        </is>
      </c>
      <c r="F18" s="6" t="n">
        <v>8</v>
      </c>
      <c r="G18" s="6" t="n">
        <v>0</v>
      </c>
      <c r="H18" s="6" t="n">
        <v>-8</v>
      </c>
    </row>
    <row r="19" ht="20" customHeight="1">
      <c r="A19" s="8" t="n">
        <v>575175</v>
      </c>
      <c r="B19" s="9" t="inlineStr">
        <is>
          <t>[RD_DEV] AS332EC -上載管理員: 觸發上載  App Compact Bin</t>
        </is>
      </c>
      <c r="C19" s="8" t="inlineStr">
        <is>
          <t>Designer Rev1.14.0 Sprint2</t>
        </is>
      </c>
      <c r="D19" s="8" t="inlineStr">
        <is>
          <t>Task</t>
        </is>
      </c>
      <c r="E19" s="8" t="inlineStr">
        <is>
          <t>Completed</t>
        </is>
      </c>
      <c r="F19" s="8" t="n">
        <v>24</v>
      </c>
      <c r="G19" s="8" t="n">
        <v>0</v>
      </c>
      <c r="H19" s="8" t="n">
        <v>-24</v>
      </c>
    </row>
    <row r="20" ht="20" customHeight="1">
      <c r="A20" s="6" t="n">
        <v>574225</v>
      </c>
      <c r="B20" s="7" t="inlineStr">
        <is>
          <t>[RD_DEV] W3A 多節點示波器 - Pool - 建立資料池</t>
        </is>
      </c>
      <c r="C20" s="6" t="inlineStr">
        <is>
          <t>Designer Rev1.14.0 Sprint1</t>
        </is>
      </c>
      <c r="D20" s="6" t="inlineStr">
        <is>
          <t>Task</t>
        </is>
      </c>
      <c r="E20" s="6" t="inlineStr">
        <is>
          <t>Completed</t>
        </is>
      </c>
      <c r="F20" s="6" t="n">
        <v>24</v>
      </c>
      <c r="G20" s="6" t="n">
        <v>0</v>
      </c>
      <c r="H20" s="6" t="n">
        <v>-24</v>
      </c>
    </row>
    <row r="21" ht="20" customHeight="1">
      <c r="A21" s="8" t="n">
        <v>574224</v>
      </c>
      <c r="B21" s="9" t="inlineStr">
        <is>
          <t>[RD_DEV] W3A 多節點示波器 - Pool (1.14)</t>
        </is>
      </c>
      <c r="C21" s="8" t="inlineStr">
        <is>
          <t>Designer Rev1.14.0 Plan</t>
        </is>
      </c>
      <c r="D21" s="8" t="inlineStr">
        <is>
          <t>Task</t>
        </is>
      </c>
      <c r="E21" s="8" t="inlineStr">
        <is>
          <t>Completed</t>
        </is>
      </c>
      <c r="F21" s="8" t="n">
        <v>40</v>
      </c>
      <c r="G21" s="8" t="n">
        <v>0</v>
      </c>
      <c r="H21" s="8" t="n">
        <v>-40</v>
      </c>
    </row>
    <row r="22" ht="20" customHeight="1">
      <c r="A22" s="6" t="n">
        <v>572839</v>
      </c>
      <c r="B22" s="7" t="inlineStr">
        <is>
          <t>[RD_DEV] AS332EC - 設備主體: 上載管理員 - 上載 Project Compact Bin 前, 取消比對 Checksum</t>
        </is>
      </c>
      <c r="C22" s="6" t="inlineStr">
        <is>
          <t>Designer Rev1.14.0 Sprint3</t>
        </is>
      </c>
      <c r="D22" s="6" t="inlineStr">
        <is>
          <t>Task</t>
        </is>
      </c>
      <c r="E22" s="6" t="inlineStr">
        <is>
          <t>Completed</t>
        </is>
      </c>
      <c r="F22" s="6" t="n">
        <v>8</v>
      </c>
      <c r="G22" s="6" t="n">
        <v>0</v>
      </c>
      <c r="H22" s="6" t="n">
        <v>-8</v>
      </c>
    </row>
    <row r="23" ht="20" customHeight="1">
      <c r="A23" s="8" t="n">
        <v>565510</v>
      </c>
      <c r="B23" s="9" t="inlineStr">
        <is>
          <t xml:space="preserve">
VFD MNTR 示波器及組態上載規格整理(serial, ethernet)
 </t>
        </is>
      </c>
      <c r="C23" s="8" t="inlineStr">
        <is>
          <t>Rev1.14.0 DIADesigner</t>
        </is>
      </c>
      <c r="D23" s="8" t="inlineStr">
        <is>
          <t>Task</t>
        </is>
      </c>
      <c r="E23" s="8" t="inlineStr">
        <is>
          <t>Completed</t>
        </is>
      </c>
      <c r="F23" s="8" t="n">
        <v>0</v>
      </c>
      <c r="G23" s="8" t="n">
        <v>0</v>
      </c>
      <c r="H23" s="8" t="n">
        <v>0</v>
      </c>
    </row>
    <row r="24" ht="20" customHeight="1">
      <c r="A24" s="6" t="n">
        <v>521974</v>
      </c>
      <c r="B24" s="7" t="inlineStr">
        <is>
          <t>[RD_DEV] DVPSEC - 模擬器不支援功能</t>
        </is>
      </c>
      <c r="C24" s="6" t="inlineStr">
        <is>
          <t>Designer Rev1.14.0 Sprint3</t>
        </is>
      </c>
      <c r="D24" s="6" t="inlineStr">
        <is>
          <t>Task</t>
        </is>
      </c>
      <c r="E24" s="6" t="inlineStr">
        <is>
          <t>Assigned</t>
        </is>
      </c>
      <c r="F24" s="6" t="n">
        <v>8</v>
      </c>
      <c r="G24" s="6" t="n">
        <v>0</v>
      </c>
      <c r="H24" s="6" t="n">
        <v>-8</v>
      </c>
    </row>
    <row r="25" ht="20" customHeight="1">
      <c r="A25" s="8" t="n">
        <v>507066</v>
      </c>
      <c r="B25" s="9" t="inlineStr">
        <is>
          <t>[RD_DEV] AS332EC - 模擬器不支援功能</t>
        </is>
      </c>
      <c r="C25" s="8" t="inlineStr">
        <is>
          <t>Designer Rev1.14.0 Sprint3</t>
        </is>
      </c>
      <c r="D25" s="8" t="inlineStr">
        <is>
          <t>Task</t>
        </is>
      </c>
      <c r="E25" s="8" t="inlineStr">
        <is>
          <t>Assigned</t>
        </is>
      </c>
      <c r="F25" s="8" t="n">
        <v>8</v>
      </c>
      <c r="G25" s="8" t="n">
        <v>0</v>
      </c>
      <c r="H25" s="8" t="n">
        <v>-8</v>
      </c>
    </row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</sheetData>
  <mergeCells count="1">
    <mergeCell ref="A1:H2"/>
  </mergeCells>
  <conditionalFormatting sqref="H8:H25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10" customWidth="1" min="4" max="4"/>
    <col width="18" customWidth="1" min="5" max="5"/>
    <col width="13" customWidth="1" min="6" max="6"/>
    <col width="13" customWidth="1" min="7" max="7"/>
    <col width="10" customWidth="1" min="8" max="8"/>
  </cols>
  <sheetData>
    <row r="1" ht="20" customHeight="1">
      <c r="A1" s="4" t="inlineStr">
        <is>
          <t>KAKA.WU 吳思言</t>
        </is>
      </c>
    </row>
    <row r="2" ht="20" customHeight="1"/>
    <row r="3" ht="20" customHeight="1"/>
    <row r="4" ht="20" customHeight="1">
      <c r="B4" s="2" t="inlineStr">
        <is>
          <t>Estimate(h)</t>
        </is>
      </c>
      <c r="C4" s="2" t="inlineStr">
        <is>
          <t>TimeSpend(h)</t>
        </is>
      </c>
      <c r="D4" s="2" t="inlineStr">
        <is>
          <t>Utilization</t>
        </is>
      </c>
      <c r="E4" s="2" t="inlineStr">
        <is>
          <t>Tasks</t>
        </is>
      </c>
    </row>
    <row r="5" ht="20" customHeight="1">
      <c r="B5" s="3" t="inlineStr">
        <is>
          <t>60.0h</t>
        </is>
      </c>
      <c r="C5" s="3" t="inlineStr">
        <is>
          <t>6.3h</t>
        </is>
      </c>
      <c r="D5" s="3" t="inlineStr">
        <is>
          <t>10.5%</t>
        </is>
      </c>
      <c r="E5" s="3" t="inlineStr">
        <is>
          <t>8</t>
        </is>
      </c>
    </row>
    <row r="6" ht="20" customHeight="1"/>
    <row r="7" ht="24" customHeight="1">
      <c r="A7" s="5" t="inlineStr">
        <is>
          <t>ID</t>
        </is>
      </c>
      <c r="B7" s="5" t="inlineStr">
        <is>
          <t>Summary</t>
        </is>
      </c>
      <c r="C7" s="5" t="inlineStr">
        <is>
          <t>Planned For</t>
        </is>
      </c>
      <c r="D7" s="5" t="inlineStr">
        <is>
          <t>Type</t>
        </is>
      </c>
      <c r="E7" s="5" t="inlineStr">
        <is>
          <t>State</t>
        </is>
      </c>
      <c r="F7" s="5" t="inlineStr">
        <is>
          <t>Estimate(h)</t>
        </is>
      </c>
      <c r="G7" s="5" t="inlineStr">
        <is>
          <t>TimeSpend(h)</t>
        </is>
      </c>
      <c r="H7" s="5" t="inlineStr">
        <is>
          <t>Diff(h)</t>
        </is>
      </c>
    </row>
    <row r="8" ht="20" customHeight="1">
      <c r="A8" s="6" t="n">
        <v>584033</v>
      </c>
      <c r="B8" s="7" t="inlineStr">
        <is>
          <t>[RD-DEV][For Config team](專案管理)  icon灰色时,鼠标移至，也可显示提示</t>
        </is>
      </c>
      <c r="C8" s="6" t="inlineStr">
        <is>
          <t>Designer Rev1.14.0 Sprint3</t>
        </is>
      </c>
      <c r="D8" s="6" t="inlineStr">
        <is>
          <t>Task</t>
        </is>
      </c>
      <c r="E8" s="6" t="inlineStr">
        <is>
          <t>Resolved</t>
        </is>
      </c>
      <c r="F8" s="6" t="n">
        <v>0</v>
      </c>
      <c r="G8" s="6" t="n">
        <v>2</v>
      </c>
      <c r="H8" s="6" t="n">
        <v>2</v>
      </c>
    </row>
    <row r="9" ht="20" customHeight="1">
      <c r="A9" s="8" t="n">
        <v>583901</v>
      </c>
      <c r="B9" s="9" t="inlineStr">
        <is>
          <t xml:space="preserve">[RD-DEV][JIRA] (調適) [IABGVOC-1685] 示波器工具列圖示調整 </t>
        </is>
      </c>
      <c r="C9" s="8" t="inlineStr">
        <is>
          <t>Designer Rev1.14.0 Sprint3</t>
        </is>
      </c>
      <c r="D9" s="8" t="inlineStr">
        <is>
          <t>Task</t>
        </is>
      </c>
      <c r="E9" s="8" t="inlineStr">
        <is>
          <t>Completed</t>
        </is>
      </c>
      <c r="F9" s="8" t="n">
        <v>0</v>
      </c>
      <c r="G9" s="8" t="n">
        <v>2</v>
      </c>
      <c r="H9" s="8" t="n">
        <v>2</v>
      </c>
    </row>
    <row r="10" ht="20" customHeight="1">
      <c r="A10" s="6" t="n">
        <v>583762</v>
      </c>
      <c r="B10" s="7" t="inlineStr">
        <is>
          <t>[RD-DEV](專案管理)更換匯出匯入ICON</t>
        </is>
      </c>
      <c r="C10" s="6" t="inlineStr">
        <is>
          <t>Designer Rev1.14.0 Sprint3</t>
        </is>
      </c>
      <c r="D10" s="6" t="inlineStr">
        <is>
          <t>Task</t>
        </is>
      </c>
      <c r="E10" s="6" t="inlineStr">
        <is>
          <t>Completed</t>
        </is>
      </c>
      <c r="F10" s="6" t="n">
        <v>0</v>
      </c>
      <c r="G10" s="6" t="n">
        <v>1</v>
      </c>
      <c r="H10" s="6" t="n">
        <v>1</v>
      </c>
    </row>
    <row r="11" ht="20" customHeight="1">
      <c r="A11" s="8" t="n">
        <v>581079</v>
      </c>
      <c r="B11" s="9" t="inlineStr">
        <is>
          <t xml:space="preserve">[RD-DEV] [JIRA] (程式編輯) [IABGVOC-2013] 及時刷新 LOG 狀態下關閉頁籤，在线仿真發生例外 </t>
        </is>
      </c>
      <c r="C11" s="8" t="inlineStr">
        <is>
          <t>Designer Rev1.14.0 Sprint3</t>
        </is>
      </c>
      <c r="D11" s="8" t="inlineStr">
        <is>
          <t>Task</t>
        </is>
      </c>
      <c r="E11" s="8" t="inlineStr">
        <is>
          <t>Completed</t>
        </is>
      </c>
      <c r="F11" s="8" t="n">
        <v>0</v>
      </c>
      <c r="G11" s="8" t="n">
        <v>0</v>
      </c>
      <c r="H11" s="8" t="n">
        <v>0</v>
      </c>
    </row>
    <row r="12" ht="20" customHeight="1">
      <c r="A12" s="6" t="n">
        <v>576791</v>
      </c>
      <c r="B12" s="7" t="inlineStr">
        <is>
          <t>(專案管理) 主工具列新增自定義喜好按钮 (規格文件)</t>
        </is>
      </c>
      <c r="C12" s="6" t="inlineStr">
        <is>
          <t>Designer Rev1.14.0 Sprint3</t>
        </is>
      </c>
      <c r="D12" s="6" t="inlineStr">
        <is>
          <t>Task</t>
        </is>
      </c>
      <c r="E12" s="6" t="inlineStr">
        <is>
          <t>Completed</t>
        </is>
      </c>
      <c r="F12" s="6" t="n">
        <v>0</v>
      </c>
      <c r="G12" s="6" t="n">
        <v>0</v>
      </c>
      <c r="H12" s="6" t="n">
        <v>0</v>
      </c>
    </row>
    <row r="13" ht="20" customHeight="1">
      <c r="A13" s="8" t="n">
        <v>574793</v>
      </c>
      <c r="B13" s="9" t="inlineStr">
        <is>
          <t>[RD_DEV]更新多國語系_1.14.0</t>
        </is>
      </c>
      <c r="C13" s="8" t="inlineStr">
        <is>
          <t>Rev1.14.0 DIADesigner</t>
        </is>
      </c>
      <c r="D13" s="8" t="inlineStr">
        <is>
          <t>Task</t>
        </is>
      </c>
      <c r="E13" s="8" t="inlineStr">
        <is>
          <t>Assigned</t>
        </is>
      </c>
      <c r="F13" s="8" t="n">
        <v>4</v>
      </c>
      <c r="G13" s="8" t="n">
        <v>0</v>
      </c>
      <c r="H13" s="8" t="n">
        <v>-4</v>
      </c>
    </row>
    <row r="14" ht="20" customHeight="1">
      <c r="A14" s="6" t="n">
        <v>573067</v>
      </c>
      <c r="B14" s="7" t="inlineStr">
        <is>
          <t>[RD_DEV] 架構圖更新 (UI part) - DIADesigner v1.14.0</t>
        </is>
      </c>
      <c r="C14" s="6" t="inlineStr">
        <is>
          <t>Rev1.14.0 DIADesigner</t>
        </is>
      </c>
      <c r="D14" s="6" t="inlineStr">
        <is>
          <t>Task</t>
        </is>
      </c>
      <c r="E14" s="6" t="inlineStr">
        <is>
          <t>Assigned</t>
        </is>
      </c>
      <c r="F14" s="6" t="n">
        <v>0</v>
      </c>
      <c r="G14" s="6" t="n">
        <v>0</v>
      </c>
      <c r="H14" s="6" t="n">
        <v>0</v>
      </c>
    </row>
    <row r="15" ht="20" customHeight="1">
      <c r="A15" s="8" t="n">
        <v>518197</v>
      </c>
      <c r="B15" s="9" t="inlineStr">
        <is>
          <t>[RD_DEV] IO-Link Device 設定頁面 - Parameter 分頁</t>
        </is>
      </c>
      <c r="C15" s="8" t="inlineStr">
        <is>
          <t>Designer Rev1.14.0 Plan</t>
        </is>
      </c>
      <c r="D15" s="8" t="inlineStr">
        <is>
          <t>Task</t>
        </is>
      </c>
      <c r="E15" s="8" t="inlineStr">
        <is>
          <t>Completed</t>
        </is>
      </c>
      <c r="F15" s="8" t="n">
        <v>56</v>
      </c>
      <c r="G15" s="8" t="n">
        <v>1.3</v>
      </c>
      <c r="H15" s="8" t="n">
        <v>-54.7</v>
      </c>
    </row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</sheetData>
  <mergeCells count="1">
    <mergeCell ref="A1:H2"/>
  </mergeCells>
  <conditionalFormatting sqref="H8:H15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10" customWidth="1" min="4" max="4"/>
    <col width="18" customWidth="1" min="5" max="5"/>
    <col width="13" customWidth="1" min="6" max="6"/>
    <col width="13" customWidth="1" min="7" max="7"/>
    <col width="10" customWidth="1" min="8" max="8"/>
  </cols>
  <sheetData>
    <row r="1" ht="20" customHeight="1">
      <c r="A1" s="4" t="inlineStr">
        <is>
          <t>MILENA.CHEN 陳孟歆</t>
        </is>
      </c>
    </row>
    <row r="2" ht="20" customHeight="1"/>
    <row r="3" ht="20" customHeight="1"/>
    <row r="4" ht="20" customHeight="1">
      <c r="B4" s="2" t="inlineStr">
        <is>
          <t>Estimate(h)</t>
        </is>
      </c>
      <c r="C4" s="2" t="inlineStr">
        <is>
          <t>TimeSpend(h)</t>
        </is>
      </c>
      <c r="D4" s="2" t="inlineStr">
        <is>
          <t>Utilization</t>
        </is>
      </c>
      <c r="E4" s="2" t="inlineStr">
        <is>
          <t>Tasks</t>
        </is>
      </c>
    </row>
    <row r="5" ht="20" customHeight="1">
      <c r="B5" s="3" t="inlineStr">
        <is>
          <t>57.0h</t>
        </is>
      </c>
      <c r="C5" s="3" t="inlineStr">
        <is>
          <t>68.6h</t>
        </is>
      </c>
      <c r="D5" s="3" t="inlineStr">
        <is>
          <t>120.4%</t>
        </is>
      </c>
      <c r="E5" s="3" t="inlineStr">
        <is>
          <t>34</t>
        </is>
      </c>
    </row>
    <row r="6" ht="20" customHeight="1"/>
    <row r="7" ht="24" customHeight="1">
      <c r="A7" s="5" t="inlineStr">
        <is>
          <t>ID</t>
        </is>
      </c>
      <c r="B7" s="5" t="inlineStr">
        <is>
          <t>Summary</t>
        </is>
      </c>
      <c r="C7" s="5" t="inlineStr">
        <is>
          <t>Planned For</t>
        </is>
      </c>
      <c r="D7" s="5" t="inlineStr">
        <is>
          <t>Type</t>
        </is>
      </c>
      <c r="E7" s="5" t="inlineStr">
        <is>
          <t>State</t>
        </is>
      </c>
      <c r="F7" s="5" t="inlineStr">
        <is>
          <t>Estimate(h)</t>
        </is>
      </c>
      <c r="G7" s="5" t="inlineStr">
        <is>
          <t>TimeSpend(h)</t>
        </is>
      </c>
      <c r="H7" s="5" t="inlineStr">
        <is>
          <t>Diff(h)</t>
        </is>
      </c>
    </row>
    <row r="8" ht="20" customHeight="1">
      <c r="A8" s="6" t="n">
        <v>583357</v>
      </c>
      <c r="B8" s="7" t="inlineStr">
        <is>
          <t>[RD_DEV] (DDF)W3A DDF示波器功能新增軸號區段與相關屬性</t>
        </is>
      </c>
      <c r="C8" s="6" t="inlineStr">
        <is>
          <t>Designer Rev1.14.0 Sprint3</t>
        </is>
      </c>
      <c r="D8" s="6" t="inlineStr">
        <is>
          <t>Task</t>
        </is>
      </c>
      <c r="E8" s="6" t="inlineStr">
        <is>
          <t>Completed</t>
        </is>
      </c>
      <c r="F8" s="6" t="n">
        <v>0</v>
      </c>
      <c r="G8" s="6" t="n">
        <v>1.5</v>
      </c>
      <c r="H8" s="6" t="n">
        <v>1.5</v>
      </c>
    </row>
    <row r="9" ht="20" customHeight="1">
      <c r="A9" s="8" t="n">
        <v>583212</v>
      </c>
      <c r="B9" s="9" t="inlineStr">
        <is>
          <t>[RD_DEV] AS00SCM-A 新增參數，更新 DDF</t>
        </is>
      </c>
      <c r="C9" s="8" t="inlineStr">
        <is>
          <t>Rev1.14.0 DIADesigner</t>
        </is>
      </c>
      <c r="D9" s="8" t="inlineStr">
        <is>
          <t>Task</t>
        </is>
      </c>
      <c r="E9" s="8" t="inlineStr">
        <is>
          <t>Assigned</t>
        </is>
      </c>
      <c r="F9" s="8" t="n">
        <v>0</v>
      </c>
      <c r="G9" s="8" t="n">
        <v>0</v>
      </c>
      <c r="H9" s="8" t="n">
        <v>0</v>
      </c>
    </row>
    <row r="10" ht="20" customHeight="1">
      <c r="A10" s="6" t="n">
        <v>582518</v>
      </c>
      <c r="B10" s="7" t="inlineStr">
        <is>
          <t>[RD_DEV] 修正 Corner 下載管理員 IsCompiled 判定邏輯</t>
        </is>
      </c>
      <c r="C10" s="6" t="inlineStr">
        <is>
          <t>Designer Rev1.14.0 Sprint2</t>
        </is>
      </c>
      <c r="D10" s="6" t="inlineStr">
        <is>
          <t>Task</t>
        </is>
      </c>
      <c r="E10" s="6" t="inlineStr">
        <is>
          <t>Completed</t>
        </is>
      </c>
      <c r="F10" s="6" t="n">
        <v>0</v>
      </c>
      <c r="G10" s="6" t="n">
        <v>2</v>
      </c>
      <c r="H10" s="6" t="n">
        <v>2</v>
      </c>
    </row>
    <row r="11" ht="20" customHeight="1">
      <c r="A11" s="8" t="n">
        <v>582127</v>
      </c>
      <c r="B11" s="9" t="inlineStr">
        <is>
          <t>[RD_DEV] 支援ASD A3-EX功能_DDF 規格新增，Port-X &gt; Item-X 新增 ProtocolType HLLT</t>
        </is>
      </c>
      <c r="C11" s="8" t="inlineStr">
        <is>
          <t>Designer Rev1.14.0 Sprint3</t>
        </is>
      </c>
      <c r="D11" s="8" t="inlineStr">
        <is>
          <t>Task</t>
        </is>
      </c>
      <c r="E11" s="8" t="inlineStr">
        <is>
          <t>Completed</t>
        </is>
      </c>
      <c r="F11" s="8" t="n">
        <v>0</v>
      </c>
      <c r="G11" s="8" t="n">
        <v>0.5</v>
      </c>
      <c r="H11" s="8" t="n">
        <v>0.5</v>
      </c>
    </row>
    <row r="12" ht="20" customHeight="1">
      <c r="A12" s="6" t="n">
        <v>581875</v>
      </c>
      <c r="B12" s="7" t="inlineStr">
        <is>
          <t xml:space="preserve">[RD_DEV] 通訊設定: W3A 修改 DDF 中各通訊介面的預設站號
 </t>
        </is>
      </c>
      <c r="C12" s="6" t="inlineStr">
        <is>
          <t>Designer Rev1.14.0 Sprint3</t>
        </is>
      </c>
      <c r="D12" s="6" t="inlineStr">
        <is>
          <t>Task</t>
        </is>
      </c>
      <c r="E12" s="6" t="inlineStr">
        <is>
          <t>Completed</t>
        </is>
      </c>
      <c r="F12" s="6" t="n">
        <v>0</v>
      </c>
      <c r="G12" s="6" t="n">
        <v>0.6</v>
      </c>
      <c r="H12" s="6" t="n">
        <v>0.6</v>
      </c>
    </row>
    <row r="13" ht="20" customHeight="1">
      <c r="A13" s="8" t="n">
        <v>580709</v>
      </c>
      <c r="B13" s="9" t="inlineStr">
        <is>
          <t>[RD_DEV] Migrate DdfCheck from DIAOneWeb.WebAPI to DIADesigner</t>
        </is>
      </c>
      <c r="C13" s="8" t="inlineStr">
        <is>
          <t>Rev1.14.0 DIADesigner</t>
        </is>
      </c>
      <c r="D13" s="8" t="inlineStr">
        <is>
          <t>Task</t>
        </is>
      </c>
      <c r="E13" s="8" t="inlineStr">
        <is>
          <t>Completed</t>
        </is>
      </c>
      <c r="F13" s="8" t="n">
        <v>4</v>
      </c>
      <c r="G13" s="8" t="n">
        <v>4</v>
      </c>
      <c r="H13" s="8" t="n">
        <v>0</v>
      </c>
    </row>
    <row r="14" ht="20" customHeight="1">
      <c r="A14" s="6" t="n">
        <v>579662</v>
      </c>
      <c r="B14" s="7" t="inlineStr">
        <is>
          <t>[RD_DEV] 無裝置圖片時使用預設圖片 (ASD/HMI/VFD)</t>
        </is>
      </c>
      <c r="C14" s="6" t="inlineStr">
        <is>
          <t>Rev1.14.0 DIADesigner</t>
        </is>
      </c>
      <c r="D14" s="6" t="inlineStr">
        <is>
          <t>Task</t>
        </is>
      </c>
      <c r="E14" s="6" t="inlineStr">
        <is>
          <t>Completed</t>
        </is>
      </c>
      <c r="F14" s="6" t="n">
        <v>0</v>
      </c>
      <c r="G14" s="6" t="n">
        <v>2.5</v>
      </c>
      <c r="H14" s="6" t="n">
        <v>2.5</v>
      </c>
    </row>
    <row r="15" ht="20" customHeight="1">
      <c r="A15" s="8" t="n">
        <v>578957</v>
      </c>
      <c r="B15" s="9" t="inlineStr">
        <is>
          <t>[RD_DEV] 修正寫 Device.xml Document NodeType 行為</t>
        </is>
      </c>
      <c r="C15" s="8" t="inlineStr">
        <is>
          <t>Rev1.14.0 DIADesigner</t>
        </is>
      </c>
      <c r="D15" s="8" t="inlineStr">
        <is>
          <t>Task</t>
        </is>
      </c>
      <c r="E15" s="8" t="inlineStr">
        <is>
          <t>Completed</t>
        </is>
      </c>
      <c r="F15" s="8" t="n">
        <v>2</v>
      </c>
      <c r="G15" s="8" t="n">
        <v>2</v>
      </c>
      <c r="H15" s="8" t="n">
        <v>0</v>
      </c>
    </row>
    <row r="16" ht="20" customHeight="1">
      <c r="A16" s="6" t="n">
        <v>578750</v>
      </c>
      <c r="B16" s="7" t="inlineStr">
        <is>
          <t>[RD_DEV]支援ASD A3-EX功能 POC_DDF</t>
        </is>
      </c>
      <c r="C16" s="6" t="inlineStr">
        <is>
          <t>Designer Rev1.14.0 Sprint3</t>
        </is>
      </c>
      <c r="D16" s="6" t="inlineStr">
        <is>
          <t>Task</t>
        </is>
      </c>
      <c r="E16" s="6" t="inlineStr">
        <is>
          <t>In Progress</t>
        </is>
      </c>
      <c r="F16" s="6" t="n">
        <v>8</v>
      </c>
      <c r="G16" s="6" t="n">
        <v>0.5</v>
      </c>
      <c r="H16" s="6" t="n">
        <v>-7.5</v>
      </c>
    </row>
    <row r="17" ht="20" customHeight="1">
      <c r="A17" s="8" t="n">
        <v>578277</v>
      </c>
      <c r="B17" s="9" t="inlineStr">
        <is>
          <t>[PLM] PJ126A-25D301 - 3-2-05_SE_SRS (Software) (3-2 SRS(Software))</t>
        </is>
      </c>
      <c r="C17" s="8" t="inlineStr">
        <is>
          <t>Rev1.14.0 DIADesigner</t>
        </is>
      </c>
      <c r="D17" s="8" t="inlineStr">
        <is>
          <t>Task</t>
        </is>
      </c>
      <c r="E17" s="8" t="inlineStr">
        <is>
          <t>Completed</t>
        </is>
      </c>
      <c r="F17" s="8" t="n">
        <v>0</v>
      </c>
      <c r="G17" s="8" t="n">
        <v>1</v>
      </c>
      <c r="H17" s="8" t="n">
        <v>1</v>
      </c>
    </row>
    <row r="18" ht="20" customHeight="1">
      <c r="A18" s="6" t="n">
        <v>577620</v>
      </c>
      <c r="B18" s="7" t="inlineStr">
        <is>
          <t>[RD_DEV] DVP16SV3_裝置與錯誤資訊</t>
        </is>
      </c>
      <c r="C18" s="6" t="inlineStr">
        <is>
          <t>Designer Rev1.14.0 Sprint3</t>
        </is>
      </c>
      <c r="D18" s="6" t="inlineStr">
        <is>
          <t>Task</t>
        </is>
      </c>
      <c r="E18" s="6" t="inlineStr">
        <is>
          <t>Completed</t>
        </is>
      </c>
      <c r="F18" s="6" t="n">
        <v>8</v>
      </c>
      <c r="G18" s="6" t="n">
        <v>0.5</v>
      </c>
      <c r="H18" s="6" t="n">
        <v>-7.5</v>
      </c>
    </row>
    <row r="19" ht="20" customHeight="1">
      <c r="A19" s="8" t="n">
        <v>577482</v>
      </c>
      <c r="B19" s="9" t="inlineStr">
        <is>
          <t>[RD_DEV] APF3000_裝置與錯誤資訊 (離線功能)</t>
        </is>
      </c>
      <c r="C19" s="8" t="inlineStr">
        <is>
          <t>Designer Rev1.14.0 Sprint2</t>
        </is>
      </c>
      <c r="D19" s="8" t="inlineStr">
        <is>
          <t>Task</t>
        </is>
      </c>
      <c r="E19" s="8" t="inlineStr">
        <is>
          <t>Completed</t>
        </is>
      </c>
      <c r="F19" s="8" t="n">
        <v>0</v>
      </c>
      <c r="G19" s="8" t="n">
        <v>0</v>
      </c>
      <c r="H19" s="8" t="n">
        <v>0</v>
      </c>
    </row>
    <row r="20" ht="20" customHeight="1">
      <c r="A20" s="6" t="n">
        <v>577471</v>
      </c>
      <c r="B20" s="7" t="inlineStr">
        <is>
          <t>[RD_DEV] VA3000_裝置與錯誤資訊 (離線功能)</t>
        </is>
      </c>
      <c r="C20" s="6" t="inlineStr">
        <is>
          <t>Designer Rev1.14.0 Sprint2</t>
        </is>
      </c>
      <c r="D20" s="6" t="inlineStr">
        <is>
          <t>Task</t>
        </is>
      </c>
      <c r="E20" s="6" t="inlineStr">
        <is>
          <t>Completed</t>
        </is>
      </c>
      <c r="F20" s="6" t="n">
        <v>0</v>
      </c>
      <c r="G20" s="6" t="n">
        <v>1</v>
      </c>
      <c r="H20" s="6" t="n">
        <v>1</v>
      </c>
    </row>
    <row r="21" ht="20" customHeight="1">
      <c r="A21" s="8" t="n">
        <v>577405</v>
      </c>
      <c r="B21" s="9" t="inlineStr">
        <is>
          <t>[RD_DEV] W3A IQM Modbus Mapping_下載前編譯檢查</t>
        </is>
      </c>
      <c r="C21" s="8" t="inlineStr">
        <is>
          <t>Designer Rev1.14.0 Sprint2</t>
        </is>
      </c>
      <c r="D21" s="8" t="inlineStr">
        <is>
          <t>Task</t>
        </is>
      </c>
      <c r="E21" s="8" t="inlineStr">
        <is>
          <t>Completed</t>
        </is>
      </c>
      <c r="F21" s="8" t="n">
        <v>0</v>
      </c>
      <c r="G21" s="8" t="n">
        <v>2</v>
      </c>
      <c r="H21" s="8" t="n">
        <v>2</v>
      </c>
    </row>
    <row r="22" ht="20" customHeight="1">
      <c r="A22" s="6" t="n">
        <v>577284</v>
      </c>
      <c r="B22" s="7" t="inlineStr">
        <is>
          <t>[RD_DEV] 調整 Device Import 選擇資料夾 UI</t>
        </is>
      </c>
      <c r="C22" s="6" t="inlineStr">
        <is>
          <t>Designer Rev1.14.0 Sprint2</t>
        </is>
      </c>
      <c r="D22" s="6" t="inlineStr">
        <is>
          <t>Task</t>
        </is>
      </c>
      <c r="E22" s="6" t="inlineStr">
        <is>
          <t>Completed</t>
        </is>
      </c>
      <c r="F22" s="6" t="n">
        <v>0</v>
      </c>
      <c r="G22" s="6" t="n">
        <v>6</v>
      </c>
      <c r="H22" s="6" t="n">
        <v>6</v>
      </c>
    </row>
    <row r="23" ht="20" customHeight="1">
      <c r="A23" s="8" t="n">
        <v>576891</v>
      </c>
      <c r="B23" s="9" t="inlineStr">
        <is>
          <t>[RD_DEV] Modbus Address Mapping 編譯錯誤後點擊錯誤訊息跳轉到對應畫面</t>
        </is>
      </c>
      <c r="C23" s="8" t="inlineStr">
        <is>
          <t>Designer Rev1.14.0 Sprint1</t>
        </is>
      </c>
      <c r="D23" s="8" t="inlineStr">
        <is>
          <t>Task</t>
        </is>
      </c>
      <c r="E23" s="8" t="inlineStr">
        <is>
          <t>Completed</t>
        </is>
      </c>
      <c r="F23" s="8" t="n">
        <v>0</v>
      </c>
      <c r="G23" s="8" t="n">
        <v>2</v>
      </c>
      <c r="H23" s="8" t="n">
        <v>2</v>
      </c>
    </row>
    <row r="24" ht="20" customHeight="1">
      <c r="A24" s="6" t="n">
        <v>576375</v>
      </c>
      <c r="B24" s="7" t="inlineStr">
        <is>
          <t>[RD_DEV] MX300 DDF Update to V1.03 (更新版本)</t>
        </is>
      </c>
      <c r="C24" s="6" t="inlineStr">
        <is>
          <t>Designer Rev1.14.0 Sprint2</t>
        </is>
      </c>
      <c r="D24" s="6" t="inlineStr">
        <is>
          <t>Task</t>
        </is>
      </c>
      <c r="E24" s="6" t="inlineStr">
        <is>
          <t>Completed</t>
        </is>
      </c>
      <c r="F24" s="6" t="n">
        <v>0</v>
      </c>
      <c r="G24" s="6" t="n">
        <v>1</v>
      </c>
      <c r="H24" s="6" t="n">
        <v>1</v>
      </c>
    </row>
    <row r="25" ht="20" customHeight="1">
      <c r="A25" s="8" t="n">
        <v>576346</v>
      </c>
      <c r="B25" s="9" t="inlineStr">
        <is>
          <t>[RD_DEV] ASD A3-M 新增 DDF (新機種)</t>
        </is>
      </c>
      <c r="C25" s="8" t="inlineStr">
        <is>
          <t>Designer Rev1.14.0 Sprint2</t>
        </is>
      </c>
      <c r="D25" s="8" t="inlineStr">
        <is>
          <t>Task</t>
        </is>
      </c>
      <c r="E25" s="8" t="inlineStr">
        <is>
          <t>Completed</t>
        </is>
      </c>
      <c r="F25" s="8" t="n">
        <v>0</v>
      </c>
      <c r="G25" s="8" t="n">
        <v>1</v>
      </c>
      <c r="H25" s="8" t="n">
        <v>1</v>
      </c>
    </row>
    <row r="26" ht="20" customHeight="1">
      <c r="A26" s="6" t="n">
        <v>576345</v>
      </c>
      <c r="B26" s="7" t="inlineStr">
        <is>
          <t>[RD_DEV] ASD B3-M 新增 DDF (新機種)</t>
        </is>
      </c>
      <c r="C26" s="6" t="inlineStr">
        <is>
          <t>Designer Rev1.14.0 Sprint2</t>
        </is>
      </c>
      <c r="D26" s="6" t="inlineStr">
        <is>
          <t>Task</t>
        </is>
      </c>
      <c r="E26" s="6" t="inlineStr">
        <is>
          <t>Completed</t>
        </is>
      </c>
      <c r="F26" s="6" t="n">
        <v>0</v>
      </c>
      <c r="G26" s="6" t="n">
        <v>1</v>
      </c>
      <c r="H26" s="6" t="n">
        <v>1</v>
      </c>
    </row>
    <row r="27" ht="20" customHeight="1">
      <c r="A27" s="8" t="n">
        <v>576331</v>
      </c>
      <c r="B27" s="9" t="inlineStr">
        <is>
          <t>[RD_DEV] ASD-A3-M 220V DDF Update (無版本更新)</t>
        </is>
      </c>
      <c r="C27" s="8" t="inlineStr">
        <is>
          <t>Designer Rev1.14.0 Sprint2</t>
        </is>
      </c>
      <c r="D27" s="8" t="inlineStr">
        <is>
          <t>Task</t>
        </is>
      </c>
      <c r="E27" s="8" t="inlineStr">
        <is>
          <t>Completed</t>
        </is>
      </c>
      <c r="F27" s="8" t="n">
        <v>0</v>
      </c>
      <c r="G27" s="8" t="n">
        <v>0</v>
      </c>
      <c r="H27" s="8" t="n">
        <v>0</v>
      </c>
    </row>
    <row r="28" ht="20" customHeight="1">
      <c r="A28" s="6" t="n">
        <v>576260</v>
      </c>
      <c r="B28" s="7" t="inlineStr">
        <is>
          <t>[RD_DEV] ASD-B3-M 220V DDF Update (無版本更新)</t>
        </is>
      </c>
      <c r="C28" s="6" t="inlineStr">
        <is>
          <t>Designer Rev1.14.0 Plan</t>
        </is>
      </c>
      <c r="D28" s="6" t="inlineStr">
        <is>
          <t>Task</t>
        </is>
      </c>
      <c r="E28" s="6" t="inlineStr">
        <is>
          <t>Completed</t>
        </is>
      </c>
      <c r="F28" s="6" t="n">
        <v>0</v>
      </c>
      <c r="G28" s="6" t="n">
        <v>1</v>
      </c>
      <c r="H28" s="6" t="n">
        <v>1</v>
      </c>
    </row>
    <row r="29" ht="20" customHeight="1">
      <c r="A29" s="8" t="n">
        <v>576256</v>
      </c>
      <c r="B29" s="9" t="inlineStr">
        <is>
          <t>(Cyber Security) Document clarify - Main Process</t>
        </is>
      </c>
      <c r="C29" s="8" t="inlineStr">
        <is>
          <t>Rev1.14.0 DIADesigner</t>
        </is>
      </c>
      <c r="D29" s="8" t="inlineStr">
        <is>
          <t>Task</t>
        </is>
      </c>
      <c r="E29" s="8" t="inlineStr">
        <is>
          <t>Completed</t>
        </is>
      </c>
      <c r="F29" s="8" t="n">
        <v>0</v>
      </c>
      <c r="G29" s="8" t="n">
        <v>2</v>
      </c>
      <c r="H29" s="8" t="n">
        <v>2</v>
      </c>
    </row>
    <row r="30" ht="20" customHeight="1">
      <c r="A30" s="6" t="n">
        <v>574836</v>
      </c>
      <c r="B30" s="7" t="inlineStr">
        <is>
          <t>[RD_DEV] MA500_裝置與錯誤資訊</t>
        </is>
      </c>
      <c r="C30" s="6" t="inlineStr">
        <is>
          <t>Designer Rev1.14.0 Sprint3</t>
        </is>
      </c>
      <c r="D30" s="6" t="inlineStr">
        <is>
          <t>Task</t>
        </is>
      </c>
      <c r="E30" s="6" t="inlineStr">
        <is>
          <t>Completed</t>
        </is>
      </c>
      <c r="F30" s="6" t="n">
        <v>4</v>
      </c>
      <c r="G30" s="6" t="n">
        <v>2</v>
      </c>
      <c r="H30" s="6" t="n">
        <v>-2</v>
      </c>
    </row>
    <row r="31" ht="20" customHeight="1">
      <c r="A31" s="8" t="n">
        <v>574830</v>
      </c>
      <c r="B31" s="9" t="inlineStr">
        <is>
          <t>[RD_DEV] MA500_新增裝置</t>
        </is>
      </c>
      <c r="C31" s="8" t="inlineStr">
        <is>
          <t>Designer Rev1.14.0 Sprint3</t>
        </is>
      </c>
      <c r="D31" s="8" t="inlineStr">
        <is>
          <t>Task</t>
        </is>
      </c>
      <c r="E31" s="8" t="inlineStr">
        <is>
          <t>Completed</t>
        </is>
      </c>
      <c r="F31" s="8" t="n">
        <v>4</v>
      </c>
      <c r="G31" s="8" t="n">
        <v>1</v>
      </c>
      <c r="H31" s="8" t="n">
        <v>-3</v>
      </c>
    </row>
    <row r="32" ht="20" customHeight="1">
      <c r="A32" s="6" t="n">
        <v>574829</v>
      </c>
      <c r="B32" s="7" t="inlineStr">
        <is>
          <t>[RD_DEV] MA500_DDF (新機種)</t>
        </is>
      </c>
      <c r="C32" s="6" t="inlineStr">
        <is>
          <t>Designer Rev1.14.0 Sprint3</t>
        </is>
      </c>
      <c r="D32" s="6" t="inlineStr">
        <is>
          <t>Task</t>
        </is>
      </c>
      <c r="E32" s="6" t="inlineStr">
        <is>
          <t>Completed</t>
        </is>
      </c>
      <c r="F32" s="6" t="n">
        <v>8</v>
      </c>
      <c r="G32" s="6" t="n">
        <v>1</v>
      </c>
      <c r="H32" s="6" t="n">
        <v>-7</v>
      </c>
    </row>
    <row r="33" ht="20" customHeight="1">
      <c r="A33" s="8" t="n">
        <v>574813</v>
      </c>
      <c r="B33" s="9" t="inlineStr">
        <is>
          <t>[RD_DEV] APF3000_新增裝置 &amp; DDF/EDS (release 前移除)</t>
        </is>
      </c>
      <c r="C33" s="8" t="inlineStr">
        <is>
          <t>Designer Rev1.14.0 Sprint2</t>
        </is>
      </c>
      <c r="D33" s="8" t="inlineStr">
        <is>
          <t>Task</t>
        </is>
      </c>
      <c r="E33" s="8" t="inlineStr">
        <is>
          <t>Completed</t>
        </is>
      </c>
      <c r="F33" s="8" t="n">
        <v>4</v>
      </c>
      <c r="G33" s="8" t="n">
        <v>1</v>
      </c>
      <c r="H33" s="8" t="n">
        <v>-3</v>
      </c>
    </row>
    <row r="34" ht="20" customHeight="1">
      <c r="A34" s="6" t="n">
        <v>574786</v>
      </c>
      <c r="B34" s="7" t="inlineStr">
        <is>
          <t>[RD_DEV] MX300-S_新增裝置 &amp; DDF (新機種)</t>
        </is>
      </c>
      <c r="C34" s="6" t="inlineStr">
        <is>
          <t>Designer Rev1.14.0 Sprint1</t>
        </is>
      </c>
      <c r="D34" s="6" t="inlineStr">
        <is>
          <t>Task</t>
        </is>
      </c>
      <c r="E34" s="6" t="inlineStr">
        <is>
          <t>Completed</t>
        </is>
      </c>
      <c r="F34" s="6" t="n">
        <v>2</v>
      </c>
      <c r="G34" s="6" t="n">
        <v>1</v>
      </c>
      <c r="H34" s="6" t="n">
        <v>-1</v>
      </c>
    </row>
    <row r="35" ht="20" customHeight="1">
      <c r="A35" s="8" t="n">
        <v>573572</v>
      </c>
      <c r="B35" s="9" t="inlineStr">
        <is>
          <t>[RD_DEV] HMI 圖檔</t>
        </is>
      </c>
      <c r="C35" s="8" t="inlineStr">
        <is>
          <t>Designer Rev1.14.0 Sprint2</t>
        </is>
      </c>
      <c r="D35" s="8" t="inlineStr">
        <is>
          <t>Task</t>
        </is>
      </c>
      <c r="E35" s="8" t="inlineStr">
        <is>
          <t>Completed</t>
        </is>
      </c>
      <c r="F35" s="8" t="n">
        <v>8</v>
      </c>
      <c r="G35" s="8" t="n">
        <v>9.5</v>
      </c>
      <c r="H35" s="8" t="n">
        <v>1.5</v>
      </c>
    </row>
    <row r="36" ht="20" customHeight="1">
      <c r="A36" s="6" t="n">
        <v>573565</v>
      </c>
      <c r="B36" s="7" t="inlineStr">
        <is>
          <t>[RD_DEV] 確認支援HMI機種與DDF (無版本更新)</t>
        </is>
      </c>
      <c r="C36" s="6" t="inlineStr">
        <is>
          <t>Designer Rev1.14.0 Sprint2</t>
        </is>
      </c>
      <c r="D36" s="6" t="inlineStr">
        <is>
          <t>Task</t>
        </is>
      </c>
      <c r="E36" s="6" t="inlineStr">
        <is>
          <t>Completed</t>
        </is>
      </c>
      <c r="F36" s="6" t="n">
        <v>0</v>
      </c>
      <c r="G36" s="6" t="n">
        <v>1</v>
      </c>
      <c r="H36" s="6" t="n">
        <v>1</v>
      </c>
    </row>
    <row r="37" ht="20" customHeight="1">
      <c r="A37" s="8" t="n">
        <v>573547</v>
      </c>
      <c r="B37" s="9" t="inlineStr">
        <is>
          <t>[RD_DEV] IABG Specification_DIADesigner 功能總表進版</t>
        </is>
      </c>
      <c r="C37" s="8" t="inlineStr">
        <is>
          <t>Rev1.14.0 DIADesigner</t>
        </is>
      </c>
      <c r="D37" s="8" t="inlineStr">
        <is>
          <t>Task</t>
        </is>
      </c>
      <c r="E37" s="8" t="inlineStr">
        <is>
          <t>Completed</t>
        </is>
      </c>
      <c r="F37" s="8" t="n">
        <v>0</v>
      </c>
      <c r="G37" s="8" t="n">
        <v>9</v>
      </c>
      <c r="H37" s="8" t="n">
        <v>9</v>
      </c>
    </row>
    <row r="38" ht="20" customHeight="1">
      <c r="A38" s="6" t="n">
        <v>573433</v>
      </c>
      <c r="B38" s="7" t="inlineStr">
        <is>
          <t>[RD_DEV] IABG Specification_DDF Spec 轉移成 Confluence Page</t>
        </is>
      </c>
      <c r="C38" s="6" t="inlineStr">
        <is>
          <t>Rev1.14.0 DIADesigner</t>
        </is>
      </c>
      <c r="D38" s="6" t="inlineStr">
        <is>
          <t>Task</t>
        </is>
      </c>
      <c r="E38" s="6" t="inlineStr">
        <is>
          <t>Completed</t>
        </is>
      </c>
      <c r="F38" s="6" t="n">
        <v>0</v>
      </c>
      <c r="G38" s="6" t="n">
        <v>8</v>
      </c>
      <c r="H38" s="6" t="n">
        <v>8</v>
      </c>
    </row>
    <row r="39" ht="20" customHeight="1">
      <c r="A39" s="8" t="n">
        <v>571837</v>
      </c>
      <c r="B39" s="9" t="inlineStr">
        <is>
          <t>[RD_DEV] DDF &amp; EDS index files version refresh (for DIADesigner 1.14.0)</t>
        </is>
      </c>
      <c r="C39" s="8" t="inlineStr">
        <is>
          <t>Rev1.14.0 DIADesigner</t>
        </is>
      </c>
      <c r="D39" s="8" t="inlineStr">
        <is>
          <t>Task</t>
        </is>
      </c>
      <c r="E39" s="8" t="inlineStr">
        <is>
          <t>Assigned</t>
        </is>
      </c>
      <c r="F39" s="8" t="n">
        <v>1</v>
      </c>
      <c r="G39" s="8" t="n">
        <v>0</v>
      </c>
      <c r="H39" s="8" t="n">
        <v>-1</v>
      </c>
    </row>
    <row r="40" ht="20" customHeight="1">
      <c r="A40" s="6" t="n">
        <v>569944</v>
      </c>
      <c r="B40" s="7" t="inlineStr">
        <is>
          <t>[RD_DEV] 更新 DVP 更換系列的DDF (調整系列名)</t>
        </is>
      </c>
      <c r="C40" s="6" t="inlineStr">
        <is>
          <t>Designer Rev1.14.0 Sprint3</t>
        </is>
      </c>
      <c r="D40" s="6" t="inlineStr">
        <is>
          <t>Task</t>
        </is>
      </c>
      <c r="E40" s="6" t="inlineStr">
        <is>
          <t>In Progress</t>
        </is>
      </c>
      <c r="F40" s="6" t="n">
        <v>0</v>
      </c>
      <c r="G40" s="6" t="n">
        <v>0</v>
      </c>
      <c r="H40" s="6" t="n">
        <v>0</v>
      </c>
    </row>
    <row r="41" ht="20" customHeight="1">
      <c r="A41" s="8" t="n">
        <v>505435</v>
      </c>
      <c r="B41" s="9" t="inlineStr">
        <is>
          <t>[RD_DEV] VA3000_新增裝置 &amp; DDF (release 前移除)</t>
        </is>
      </c>
      <c r="C41" s="8" t="inlineStr">
        <is>
          <t>Designer Rev1.14.0 Sprint2</t>
        </is>
      </c>
      <c r="D41" s="8" t="inlineStr">
        <is>
          <t>Task</t>
        </is>
      </c>
      <c r="E41" s="8" t="inlineStr">
        <is>
          <t>Completed</t>
        </is>
      </c>
      <c r="F41" s="8" t="n">
        <v>4</v>
      </c>
      <c r="G41" s="8" t="n">
        <v>3</v>
      </c>
      <c r="H41" s="8" t="n">
        <v>-1</v>
      </c>
    </row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</sheetData>
  <mergeCells count="1">
    <mergeCell ref="A1:H2"/>
  </mergeCells>
  <conditionalFormatting sqref="H8:H41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10" customWidth="1" min="4" max="4"/>
    <col width="18" customWidth="1" min="5" max="5"/>
    <col width="13" customWidth="1" min="6" max="6"/>
    <col width="13" customWidth="1" min="7" max="7"/>
    <col width="10" customWidth="1" min="8" max="8"/>
  </cols>
  <sheetData>
    <row r="1" ht="20" customHeight="1">
      <c r="A1" s="4" t="inlineStr">
        <is>
          <t>NANCY.TC.YANG 楊采真</t>
        </is>
      </c>
    </row>
    <row r="2" ht="20" customHeight="1"/>
    <row r="3" ht="20" customHeight="1"/>
    <row r="4" ht="20" customHeight="1">
      <c r="B4" s="2" t="inlineStr">
        <is>
          <t>Estimate(h)</t>
        </is>
      </c>
      <c r="C4" s="2" t="inlineStr">
        <is>
          <t>TimeSpend(h)</t>
        </is>
      </c>
      <c r="D4" s="2" t="inlineStr">
        <is>
          <t>Utilization</t>
        </is>
      </c>
      <c r="E4" s="2" t="inlineStr">
        <is>
          <t>Tasks</t>
        </is>
      </c>
    </row>
    <row r="5" ht="20" customHeight="1">
      <c r="B5" s="3" t="inlineStr">
        <is>
          <t>275.5h</t>
        </is>
      </c>
      <c r="C5" s="3" t="inlineStr">
        <is>
          <t>133.1h</t>
        </is>
      </c>
      <c r="D5" s="3" t="inlineStr">
        <is>
          <t>48.3%</t>
        </is>
      </c>
      <c r="E5" s="3" t="inlineStr">
        <is>
          <t>26</t>
        </is>
      </c>
    </row>
    <row r="6" ht="20" customHeight="1"/>
    <row r="7" ht="24" customHeight="1">
      <c r="A7" s="5" t="inlineStr">
        <is>
          <t>ID</t>
        </is>
      </c>
      <c r="B7" s="5" t="inlineStr">
        <is>
          <t>Summary</t>
        </is>
      </c>
      <c r="C7" s="5" t="inlineStr">
        <is>
          <t>Planned For</t>
        </is>
      </c>
      <c r="D7" s="5" t="inlineStr">
        <is>
          <t>Type</t>
        </is>
      </c>
      <c r="E7" s="5" t="inlineStr">
        <is>
          <t>State</t>
        </is>
      </c>
      <c r="F7" s="5" t="inlineStr">
        <is>
          <t>Estimate(h)</t>
        </is>
      </c>
      <c r="G7" s="5" t="inlineStr">
        <is>
          <t>TimeSpend(h)</t>
        </is>
      </c>
      <c r="H7" s="5" t="inlineStr">
        <is>
          <t>Diff(h)</t>
        </is>
      </c>
    </row>
    <row r="8" ht="20" customHeight="1">
      <c r="A8" s="6" t="n">
        <v>583893</v>
      </c>
      <c r="B8" s="7" t="inlineStr">
        <is>
          <t>[RD_DEV](網路配置) 網路通訊總線變更名稱後會殘留舊名稱的總線網路</t>
        </is>
      </c>
      <c r="C8" s="6" t="inlineStr">
        <is>
          <t>Rev1.14.0 DIADesigner</t>
        </is>
      </c>
      <c r="D8" s="6" t="inlineStr">
        <is>
          <t>Task</t>
        </is>
      </c>
      <c r="E8" s="6" t="inlineStr">
        <is>
          <t>Resolved</t>
        </is>
      </c>
      <c r="F8" s="6" t="n">
        <v>0</v>
      </c>
      <c r="G8" s="6" t="n">
        <v>0</v>
      </c>
      <c r="H8" s="6" t="n">
        <v>0</v>
      </c>
    </row>
    <row r="9" ht="20" customHeight="1">
      <c r="A9" s="8" t="n">
        <v>583760</v>
      </c>
      <c r="B9" s="9" t="inlineStr">
        <is>
          <t>[RD_DEV](網路配置) 未開啟網路視圖時先新增裝置再開啟網路視圖建立Modbus連線後其總線的網路參數連動功能行為異常</t>
        </is>
      </c>
      <c r="C9" s="8" t="inlineStr">
        <is>
          <t>Rev1.14.0 DIADesigner</t>
        </is>
      </c>
      <c r="D9" s="8" t="inlineStr">
        <is>
          <t>Task</t>
        </is>
      </c>
      <c r="E9" s="8" t="inlineStr">
        <is>
          <t>Completed</t>
        </is>
      </c>
      <c r="F9" s="8" t="n">
        <v>0</v>
      </c>
      <c r="G9" s="8" t="n">
        <v>0</v>
      </c>
      <c r="H9" s="8" t="n">
        <v>0</v>
      </c>
    </row>
    <row r="10" ht="20" customHeight="1">
      <c r="A10" s="6" t="n">
        <v>580791</v>
      </c>
      <c r="B10" s="7" t="inlineStr">
        <is>
          <t>[RD_DEV] (硬體配置) AS300EC 機種從硬體配置新增功能卡會出現Exception</t>
        </is>
      </c>
      <c r="C10" s="6" t="inlineStr">
        <is>
          <t>Rev1.14.0 DIADesigner</t>
        </is>
      </c>
      <c r="D10" s="6" t="inlineStr">
        <is>
          <t>Task</t>
        </is>
      </c>
      <c r="E10" s="6" t="inlineStr">
        <is>
          <t>Completed</t>
        </is>
      </c>
      <c r="F10" s="6" t="n">
        <v>8</v>
      </c>
      <c r="G10" s="6" t="n">
        <v>8.5</v>
      </c>
      <c r="H10" s="6" t="n">
        <v>0.5</v>
      </c>
    </row>
    <row r="11" ht="20" customHeight="1">
      <c r="A11" s="8" t="n">
        <v>580454</v>
      </c>
      <c r="B11" s="9" t="inlineStr">
        <is>
          <t>[RD_DEV](硬體配置) 取消轉送設定後開啟網路視圖參數設定被竄改</t>
        </is>
      </c>
      <c r="C11" s="8" t="inlineStr">
        <is>
          <t>Rev1.14.0 DIADesigner</t>
        </is>
      </c>
      <c r="D11" s="8" t="inlineStr">
        <is>
          <t>Task</t>
        </is>
      </c>
      <c r="E11" s="8" t="inlineStr">
        <is>
          <t>Deferred</t>
        </is>
      </c>
      <c r="F11" s="8" t="n">
        <v>0</v>
      </c>
      <c r="G11" s="8" t="n">
        <v>0</v>
      </c>
      <c r="H11" s="8" t="n">
        <v>0</v>
      </c>
    </row>
    <row r="12" ht="20" customHeight="1">
      <c r="A12" s="6" t="n">
        <v>580436</v>
      </c>
      <c r="B12" s="7" t="inlineStr">
        <is>
          <t>[RD_DEV] (硬體配置) 取消轉送設定後開啟網路視圖參數設定被竄改</t>
        </is>
      </c>
      <c r="C12" s="6" t="inlineStr">
        <is>
          <t>Rev1.14.0 DIADesigner</t>
        </is>
      </c>
      <c r="D12" s="6" t="inlineStr">
        <is>
          <t>Task</t>
        </is>
      </c>
      <c r="E12" s="6" t="inlineStr">
        <is>
          <t>Completed</t>
        </is>
      </c>
      <c r="F12" s="6" t="n">
        <v>8</v>
      </c>
      <c r="G12" s="6" t="n">
        <v>6</v>
      </c>
      <c r="H12" s="6" t="n">
        <v>-2</v>
      </c>
    </row>
    <row r="13" ht="20" customHeight="1">
      <c r="A13" s="8" t="n">
        <v>578818</v>
      </c>
      <c r="B13" s="9" t="inlineStr">
        <is>
          <t xml:space="preserve">[RD_DEV][JIRA] (專案管理) [IABGVOC-1786] DIADesigner专案名字有写小数点的版本号时，如果另外档案，目前会把最后一个小数点的数值删除掉 </t>
        </is>
      </c>
      <c r="C13" s="8" t="inlineStr">
        <is>
          <t>Designer Rev1.14.0 Sprint2</t>
        </is>
      </c>
      <c r="D13" s="8" t="inlineStr">
        <is>
          <t>Task</t>
        </is>
      </c>
      <c r="E13" s="8" t="inlineStr">
        <is>
          <t>Completed</t>
        </is>
      </c>
      <c r="F13" s="8" t="n">
        <v>4</v>
      </c>
      <c r="G13" s="8" t="n">
        <v>3.5</v>
      </c>
      <c r="H13" s="8" t="n">
        <v>-0.5</v>
      </c>
    </row>
    <row r="14" ht="20" customHeight="1">
      <c r="A14" s="6" t="n">
        <v>578350</v>
      </c>
      <c r="B14" s="7" t="inlineStr">
        <is>
          <t>[RD_DEV]支援ASD A3-EX功能 POC_Online/Offline_SRS</t>
        </is>
      </c>
      <c r="C14" s="6" t="inlineStr">
        <is>
          <t>Designer Rev1.14.0 Sprint3</t>
        </is>
      </c>
      <c r="D14" s="6" t="inlineStr">
        <is>
          <t>Task</t>
        </is>
      </c>
      <c r="E14" s="6" t="inlineStr">
        <is>
          <t>Completed</t>
        </is>
      </c>
      <c r="F14" s="6" t="n">
        <v>4</v>
      </c>
      <c r="G14" s="6" t="n">
        <v>5.5</v>
      </c>
      <c r="H14" s="6" t="n">
        <v>1.5</v>
      </c>
    </row>
    <row r="15" ht="20" customHeight="1">
      <c r="A15" s="8" t="n">
        <v>578140</v>
      </c>
      <c r="B15" s="9" t="inlineStr">
        <is>
          <t>[RD_DEV]支援ASD A3-EX功能 POC_DI DO function configuration Requirement_SRS</t>
        </is>
      </c>
      <c r="C15" s="8" t="inlineStr">
        <is>
          <t>Designer Rev1.14.0 Sprint3</t>
        </is>
      </c>
      <c r="D15" s="8" t="inlineStr">
        <is>
          <t>Task</t>
        </is>
      </c>
      <c r="E15" s="8" t="inlineStr">
        <is>
          <t>Resolved</t>
        </is>
      </c>
      <c r="F15" s="8" t="n">
        <v>12</v>
      </c>
      <c r="G15" s="8" t="n">
        <v>11.5</v>
      </c>
      <c r="H15" s="8" t="n">
        <v>-0.5</v>
      </c>
    </row>
    <row r="16" ht="20" customHeight="1">
      <c r="A16" s="6" t="n">
        <v>578123</v>
      </c>
      <c r="B16" s="7" t="inlineStr">
        <is>
          <t>[RD_DEV](線上模式) 線上模式匹配不符時， 英文的提示字會被切掉</t>
        </is>
      </c>
      <c r="C16" s="6" t="inlineStr">
        <is>
          <t>Rev1.14.0 DIADesigner</t>
        </is>
      </c>
      <c r="D16" s="6" t="inlineStr">
        <is>
          <t>Task</t>
        </is>
      </c>
      <c r="E16" s="6" t="inlineStr">
        <is>
          <t>Completed</t>
        </is>
      </c>
      <c r="F16" s="6" t="n">
        <v>1</v>
      </c>
      <c r="G16" s="6" t="n">
        <v>1.7</v>
      </c>
      <c r="H16" s="6" t="n">
        <v>0.7</v>
      </c>
    </row>
    <row r="17" ht="20" customHeight="1">
      <c r="A17" s="8" t="n">
        <v>578070</v>
      </c>
      <c r="B17" s="9" t="inlineStr">
        <is>
          <t>[RD_DEV](新增裝置) When clicking a node in the project tree with the mouse, the focused item does not display a colored background. (3/3)</t>
        </is>
      </c>
      <c r="C17" s="8" t="inlineStr">
        <is>
          <t>Rev1.14.0 DIADesigner</t>
        </is>
      </c>
      <c r="D17" s="8" t="inlineStr">
        <is>
          <t>Task</t>
        </is>
      </c>
      <c r="E17" s="8" t="inlineStr">
        <is>
          <t>Completed</t>
        </is>
      </c>
      <c r="F17" s="8" t="n">
        <v>4</v>
      </c>
      <c r="G17" s="8" t="n">
        <v>2.1</v>
      </c>
      <c r="H17" s="8" t="n">
        <v>-1.9</v>
      </c>
    </row>
    <row r="18" ht="20" customHeight="1">
      <c r="A18" s="6" t="n">
        <v>577958</v>
      </c>
      <c r="B18" s="7" t="inlineStr">
        <is>
          <t>[RD_DEV]支援ASD A3-EX功能 POC_Ethernet Connection Requirement_SRS</t>
        </is>
      </c>
      <c r="C18" s="6" t="inlineStr">
        <is>
          <t>Designer Rev1.14.0 Sprint3</t>
        </is>
      </c>
      <c r="D18" s="6" t="inlineStr">
        <is>
          <t>Task</t>
        </is>
      </c>
      <c r="E18" s="6" t="inlineStr">
        <is>
          <t>Completed</t>
        </is>
      </c>
      <c r="F18" s="6" t="n">
        <v>8</v>
      </c>
      <c r="G18" s="6" t="n">
        <v>1.5</v>
      </c>
      <c r="H18" s="6" t="n">
        <v>-6.5</v>
      </c>
    </row>
    <row r="19" ht="20" customHeight="1">
      <c r="A19" s="8" t="n">
        <v>577777</v>
      </c>
      <c r="B19" s="9" t="inlineStr">
        <is>
          <t>[RD_DEV](網路配置)  项目树与网络视图控制，联动，可同时选中</t>
        </is>
      </c>
      <c r="C19" s="8" t="inlineStr">
        <is>
          <t>Designer Rev1.14.0 Sprint2</t>
        </is>
      </c>
      <c r="D19" s="8" t="inlineStr">
        <is>
          <t>Task</t>
        </is>
      </c>
      <c r="E19" s="8" t="inlineStr">
        <is>
          <t>Completed</t>
        </is>
      </c>
      <c r="F19" s="8" t="n">
        <v>4</v>
      </c>
      <c r="G19" s="8" t="n">
        <v>4.1</v>
      </c>
      <c r="H19" s="8" t="n">
        <v>0.1</v>
      </c>
    </row>
    <row r="20" ht="20" customHeight="1">
      <c r="A20" s="6" t="n">
        <v>577624</v>
      </c>
      <c r="B20" s="7" t="inlineStr">
        <is>
          <t>[RD_DEV] DVP16SV3_機種轉換</t>
        </is>
      </c>
      <c r="C20" s="6" t="inlineStr">
        <is>
          <t>Designer Rev1.14.0 Sprint3</t>
        </is>
      </c>
      <c r="D20" s="6" t="inlineStr">
        <is>
          <t>Task</t>
        </is>
      </c>
      <c r="E20" s="6" t="inlineStr">
        <is>
          <t>Completed</t>
        </is>
      </c>
      <c r="F20" s="6" t="n">
        <v>0.5</v>
      </c>
      <c r="G20" s="6" t="n">
        <v>0.5</v>
      </c>
      <c r="H20" s="6" t="n">
        <v>0</v>
      </c>
    </row>
    <row r="21" ht="20" customHeight="1">
      <c r="A21" s="8" t="n">
        <v>577619</v>
      </c>
      <c r="B21" s="9" t="inlineStr">
        <is>
          <t>[RD_DEV] DVP16SV3_參數編輯器</t>
        </is>
      </c>
      <c r="C21" s="8" t="inlineStr">
        <is>
          <t>Designer Rev1.14.0 Sprint3</t>
        </is>
      </c>
      <c r="D21" s="8" t="inlineStr">
        <is>
          <t>Task</t>
        </is>
      </c>
      <c r="E21" s="8" t="inlineStr">
        <is>
          <t>Completed</t>
        </is>
      </c>
      <c r="F21" s="8" t="n">
        <v>2</v>
      </c>
      <c r="G21" s="8" t="n">
        <v>1.5</v>
      </c>
      <c r="H21" s="8" t="n">
        <v>-0.5</v>
      </c>
    </row>
    <row r="22" ht="20" customHeight="1">
      <c r="A22" s="6" t="n">
        <v>576903</v>
      </c>
      <c r="B22" s="7" t="inlineStr">
        <is>
          <t>[RD_DEV](專案管理) 當任一裝置切換成線上模式時，DIADesigner 應一律禁止上載下載行為</t>
        </is>
      </c>
      <c r="C22" s="6" t="inlineStr">
        <is>
          <t>Designer Rev1.14.0 Sprint2</t>
        </is>
      </c>
      <c r="D22" s="6" t="inlineStr">
        <is>
          <t>Task</t>
        </is>
      </c>
      <c r="E22" s="6" t="inlineStr">
        <is>
          <t>Completed</t>
        </is>
      </c>
      <c r="F22" s="6" t="n">
        <v>8</v>
      </c>
      <c r="G22" s="6" t="n">
        <v>8.199999999999999</v>
      </c>
      <c r="H22" s="6" t="n">
        <v>0.2</v>
      </c>
    </row>
    <row r="23" ht="20" customHeight="1">
      <c r="A23" s="8" t="n">
        <v>576235</v>
      </c>
      <c r="B23" s="9" t="inlineStr">
        <is>
          <t>[RD_DEV]DURApulse Designer 2st Beta SW Review Reply_20260413</t>
        </is>
      </c>
      <c r="C23" s="8" t="inlineStr">
        <is>
          <t>Designer Rev1.14.0 Sprint3</t>
        </is>
      </c>
      <c r="D23" s="8" t="inlineStr">
        <is>
          <t>Task</t>
        </is>
      </c>
      <c r="E23" s="8" t="inlineStr">
        <is>
          <t>Completed</t>
        </is>
      </c>
      <c r="F23" s="8" t="n">
        <v>32</v>
      </c>
      <c r="G23" s="8" t="n">
        <v>17.5</v>
      </c>
      <c r="H23" s="8" t="n">
        <v>-14.5</v>
      </c>
    </row>
    <row r="24" ht="20" customHeight="1">
      <c r="A24" s="6" t="n">
        <v>576071</v>
      </c>
      <c r="B24" s="7" t="inlineStr">
        <is>
          <t>[RD_DEV] 規劃如何讓Security Main Process運行在既有Designer版本流程上</t>
        </is>
      </c>
      <c r="C24" s="6" t="inlineStr">
        <is>
          <t>Designer Rev1.14.0 Sprint3</t>
        </is>
      </c>
      <c r="D24" s="6" t="inlineStr">
        <is>
          <t>Task</t>
        </is>
      </c>
      <c r="E24" s="6" t="inlineStr">
        <is>
          <t>In Progress</t>
        </is>
      </c>
      <c r="F24" s="6" t="n">
        <v>24</v>
      </c>
      <c r="G24" s="6" t="n">
        <v>18</v>
      </c>
      <c r="H24" s="6" t="n">
        <v>-6</v>
      </c>
    </row>
    <row r="25" ht="20" customHeight="1">
      <c r="A25" s="8" t="n">
        <v>575782</v>
      </c>
      <c r="B25" s="9" t="inlineStr">
        <is>
          <t xml:space="preserve">[RD_DEV]DURApulse Designer 2st Beta SW Review Reply_20260409
 </t>
        </is>
      </c>
      <c r="C25" s="8" t="inlineStr">
        <is>
          <t>Designer Rev1.14.0 Sprint3</t>
        </is>
      </c>
      <c r="D25" s="8" t="inlineStr">
        <is>
          <t>Task</t>
        </is>
      </c>
      <c r="E25" s="8" t="inlineStr">
        <is>
          <t>Completed</t>
        </is>
      </c>
      <c r="F25" s="8" t="n">
        <v>0</v>
      </c>
      <c r="G25" s="8" t="n">
        <v>0</v>
      </c>
      <c r="H25" s="8" t="n">
        <v>0</v>
      </c>
    </row>
    <row r="26" ht="20" customHeight="1">
      <c r="A26" s="6" t="n">
        <v>574834</v>
      </c>
      <c r="B26" s="7" t="inlineStr">
        <is>
          <t>[RD_DEV] MA500_參數編輯器</t>
        </is>
      </c>
      <c r="C26" s="6" t="inlineStr">
        <is>
          <t>Designer Rev1.14.0 Sprint3</t>
        </is>
      </c>
      <c r="D26" s="6" t="inlineStr">
        <is>
          <t>Task</t>
        </is>
      </c>
      <c r="E26" s="6" t="inlineStr">
        <is>
          <t>Completed</t>
        </is>
      </c>
      <c r="F26" s="6" t="n">
        <v>8</v>
      </c>
      <c r="G26" s="6" t="n">
        <v>2.5</v>
      </c>
      <c r="H26" s="6" t="n">
        <v>-5.5</v>
      </c>
    </row>
    <row r="27" ht="20" customHeight="1">
      <c r="A27" s="8" t="n">
        <v>572194</v>
      </c>
      <c r="B27" s="9" t="inlineStr">
        <is>
          <t>[RD_DEV] 1.14.0 PJM &amp; PMO Related work</t>
        </is>
      </c>
      <c r="C27" s="8" t="inlineStr">
        <is>
          <t>Rev1.14.0 DIADesigner</t>
        </is>
      </c>
      <c r="D27" s="8" t="inlineStr">
        <is>
          <t>Task</t>
        </is>
      </c>
      <c r="E27" s="8" t="inlineStr">
        <is>
          <t>In Progress</t>
        </is>
      </c>
      <c r="F27" s="8" t="n">
        <v>40</v>
      </c>
      <c r="G27" s="8" t="n">
        <v>20</v>
      </c>
      <c r="H27" s="8" t="n">
        <v>-20</v>
      </c>
    </row>
    <row r="28" ht="20" customHeight="1">
      <c r="A28" s="6" t="n">
        <v>560174</v>
      </c>
      <c r="B28" s="7" t="inlineStr">
        <is>
          <t>[RD_DEV] 修改VFD SRS Template內容</t>
        </is>
      </c>
      <c r="C28" s="6" t="inlineStr">
        <is>
          <t>Rev1.14.0 DIADesigner</t>
        </is>
      </c>
      <c r="D28" s="6" t="inlineStr">
        <is>
          <t>Task</t>
        </is>
      </c>
      <c r="E28" s="6" t="inlineStr">
        <is>
          <t>In Progress</t>
        </is>
      </c>
      <c r="F28" s="6" t="n">
        <v>0</v>
      </c>
      <c r="G28" s="6" t="n">
        <v>0</v>
      </c>
      <c r="H28" s="6" t="n">
        <v>0</v>
      </c>
    </row>
    <row r="29" ht="20" customHeight="1">
      <c r="A29" s="8" t="n">
        <v>560172</v>
      </c>
      <c r="B29" s="9" t="inlineStr">
        <is>
          <t>[RD_DEV] 修改SAS內容</t>
        </is>
      </c>
      <c r="C29" s="8" t="inlineStr">
        <is>
          <t>Rev1.14.0 DIADesigner</t>
        </is>
      </c>
      <c r="D29" s="8" t="inlineStr">
        <is>
          <t>Task</t>
        </is>
      </c>
      <c r="E29" s="8" t="inlineStr">
        <is>
          <t>Completed</t>
        </is>
      </c>
      <c r="F29" s="8" t="n">
        <v>40</v>
      </c>
      <c r="G29" s="8" t="n">
        <v>5</v>
      </c>
      <c r="H29" s="8" t="n">
        <v>-35</v>
      </c>
    </row>
    <row r="30" ht="20" customHeight="1">
      <c r="A30" s="6" t="n">
        <v>558807</v>
      </c>
      <c r="B30" s="7" t="inlineStr">
        <is>
          <t>[RD_DEV] 申請表併入SAS、參數對應表、SRS等文件</t>
        </is>
      </c>
      <c r="C30" s="6" t="inlineStr">
        <is>
          <t>Rev1.14.0 DIADesigner</t>
        </is>
      </c>
      <c r="D30" s="6" t="inlineStr">
        <is>
          <t>Task</t>
        </is>
      </c>
      <c r="E30" s="6" t="inlineStr">
        <is>
          <t>Completed</t>
        </is>
      </c>
      <c r="F30" s="6" t="n">
        <v>16</v>
      </c>
      <c r="G30" s="6" t="n">
        <v>12</v>
      </c>
      <c r="H30" s="6" t="n">
        <v>-4</v>
      </c>
    </row>
    <row r="31" ht="20" customHeight="1">
      <c r="A31" s="8" t="n">
        <v>532083</v>
      </c>
      <c r="B31" s="9" t="inlineStr">
        <is>
          <t>[RD_DEV] VFD_資料交換表文件範圍確認與更新</t>
        </is>
      </c>
      <c r="C31" s="8" t="inlineStr">
        <is>
          <t>Rev1.14.0 DIADesigner</t>
        </is>
      </c>
      <c r="D31" s="8" t="inlineStr">
        <is>
          <t>Task</t>
        </is>
      </c>
      <c r="E31" s="8" t="inlineStr">
        <is>
          <t>Resolved</t>
        </is>
      </c>
      <c r="F31" s="8" t="n">
        <v>8</v>
      </c>
      <c r="G31" s="8" t="n">
        <v>0.2</v>
      </c>
      <c r="H31" s="8" t="n">
        <v>-7.8</v>
      </c>
    </row>
    <row r="32" ht="20" customHeight="1">
      <c r="A32" s="6" t="n">
        <v>523127</v>
      </c>
      <c r="B32" s="7" t="inlineStr">
        <is>
          <t>[RD_DEV] VFD_裝置Online/Offline資訊文件範圍確認(Config)</t>
        </is>
      </c>
      <c r="C32" s="6" t="inlineStr">
        <is>
          <t>Rev1.14.0 DIADesigner</t>
        </is>
      </c>
      <c r="D32" s="6" t="inlineStr">
        <is>
          <t>Task</t>
        </is>
      </c>
      <c r="E32" s="6" t="inlineStr">
        <is>
          <t>Completed</t>
        </is>
      </c>
      <c r="F32" s="6" t="n">
        <v>4</v>
      </c>
      <c r="G32" s="6" t="n">
        <v>2.3</v>
      </c>
      <c r="H32" s="6" t="n">
        <v>-1.7</v>
      </c>
    </row>
    <row r="33" ht="20" customHeight="1">
      <c r="A33" s="8" t="n">
        <v>523123</v>
      </c>
      <c r="B33" s="9" t="inlineStr">
        <is>
          <t>[RD_DEV] VFD_調適資訊文件範圍確認與更新_Config</t>
        </is>
      </c>
      <c r="C33" s="8" t="inlineStr">
        <is>
          <t>Rev1.14.0 DIADesigner</t>
        </is>
      </c>
      <c r="D33" s="8" t="inlineStr">
        <is>
          <t>Task</t>
        </is>
      </c>
      <c r="E33" s="8" t="inlineStr">
        <is>
          <t>Resolved</t>
        </is>
      </c>
      <c r="F33" s="8" t="n">
        <v>40</v>
      </c>
      <c r="G33" s="8" t="n">
        <v>1</v>
      </c>
      <c r="H33" s="8" t="n">
        <v>-39</v>
      </c>
    </row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</sheetData>
  <mergeCells count="1">
    <mergeCell ref="A1:H2"/>
  </mergeCells>
  <conditionalFormatting sqref="H8:H33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10" customWidth="1" min="4" max="4"/>
    <col width="18" customWidth="1" min="5" max="5"/>
    <col width="13" customWidth="1" min="6" max="6"/>
    <col width="13" customWidth="1" min="7" max="7"/>
    <col width="10" customWidth="1" min="8" max="8"/>
  </cols>
  <sheetData>
    <row r="1" ht="20" customHeight="1">
      <c r="A1" s="4" t="inlineStr">
        <is>
          <t>WILLIAM.HC.SHEN 沈桓慶</t>
        </is>
      </c>
    </row>
    <row r="2" ht="20" customHeight="1"/>
    <row r="3" ht="20" customHeight="1"/>
    <row r="4" ht="20" customHeight="1">
      <c r="B4" s="2" t="inlineStr">
        <is>
          <t>Estimate(h)</t>
        </is>
      </c>
      <c r="C4" s="2" t="inlineStr">
        <is>
          <t>TimeSpend(h)</t>
        </is>
      </c>
      <c r="D4" s="2" t="inlineStr">
        <is>
          <t>Utilization</t>
        </is>
      </c>
      <c r="E4" s="2" t="inlineStr">
        <is>
          <t>Tasks</t>
        </is>
      </c>
    </row>
    <row r="5" ht="20" customHeight="1">
      <c r="B5" s="3" t="inlineStr">
        <is>
          <t>184.0h</t>
        </is>
      </c>
      <c r="C5" s="3" t="inlineStr">
        <is>
          <t>127.5h</t>
        </is>
      </c>
      <c r="D5" s="3" t="inlineStr">
        <is>
          <t>69.3%</t>
        </is>
      </c>
      <c r="E5" s="3" t="inlineStr">
        <is>
          <t>25</t>
        </is>
      </c>
    </row>
    <row r="6" ht="20" customHeight="1"/>
    <row r="7" ht="24" customHeight="1">
      <c r="A7" s="5" t="inlineStr">
        <is>
          <t>ID</t>
        </is>
      </c>
      <c r="B7" s="5" t="inlineStr">
        <is>
          <t>Summary</t>
        </is>
      </c>
      <c r="C7" s="5" t="inlineStr">
        <is>
          <t>Planned For</t>
        </is>
      </c>
      <c r="D7" s="5" t="inlineStr">
        <is>
          <t>Type</t>
        </is>
      </c>
      <c r="E7" s="5" t="inlineStr">
        <is>
          <t>State</t>
        </is>
      </c>
      <c r="F7" s="5" t="inlineStr">
        <is>
          <t>Estimate(h)</t>
        </is>
      </c>
      <c r="G7" s="5" t="inlineStr">
        <is>
          <t>TimeSpend(h)</t>
        </is>
      </c>
      <c r="H7" s="5" t="inlineStr">
        <is>
          <t>Diff(h)</t>
        </is>
      </c>
    </row>
    <row r="8" ht="20" customHeight="1">
      <c r="A8" s="6" t="n">
        <v>583237</v>
      </c>
      <c r="B8" s="7" t="inlineStr">
        <is>
          <t>[RD_DEV]ECAT 掃描更新事件</t>
        </is>
      </c>
      <c r="C8" s="6" t="inlineStr">
        <is>
          <t>Designer Rev1.14.0 Sprint3</t>
        </is>
      </c>
      <c r="D8" s="6" t="inlineStr">
        <is>
          <t>Task</t>
        </is>
      </c>
      <c r="E8" s="6" t="inlineStr">
        <is>
          <t>Resolved</t>
        </is>
      </c>
      <c r="F8" s="6" t="n">
        <v>16</v>
      </c>
      <c r="G8" s="6" t="n">
        <v>8</v>
      </c>
      <c r="H8" s="6" t="n">
        <v>-8</v>
      </c>
    </row>
    <row r="9" ht="20" customHeight="1">
      <c r="A9" s="8" t="n">
        <v>582319</v>
      </c>
      <c r="B9" s="9" t="inlineStr">
        <is>
          <t>[RD_DEV]DeviceEvent 寫錯導致 event 沒有觸發</t>
        </is>
      </c>
      <c r="C9" s="8" t="inlineStr">
        <is>
          <t>Designer Rev1.14.0 Sprint3</t>
        </is>
      </c>
      <c r="D9" s="8" t="inlineStr">
        <is>
          <t>Task</t>
        </is>
      </c>
      <c r="E9" s="8" t="inlineStr">
        <is>
          <t>Completed</t>
        </is>
      </c>
      <c r="F9" s="8" t="n">
        <v>8</v>
      </c>
      <c r="G9" s="8" t="n">
        <v>8.5</v>
      </c>
      <c r="H9" s="8" t="n">
        <v>0.5</v>
      </c>
    </row>
    <row r="10" ht="20" customHeight="1">
      <c r="A10" s="6" t="n">
        <v>582229</v>
      </c>
      <c r="B10" s="7" t="inlineStr">
        <is>
          <t>[RD_DEV] AS300EC 與 DVP-SEC 要處理 ECAT 與 IO 映射連動</t>
        </is>
      </c>
      <c r="C10" s="6" t="inlineStr">
        <is>
          <t>Designer Rev1.14.0 Sprint3</t>
        </is>
      </c>
      <c r="D10" s="6" t="inlineStr">
        <is>
          <t>Task</t>
        </is>
      </c>
      <c r="E10" s="6" t="inlineStr">
        <is>
          <t>Completed</t>
        </is>
      </c>
      <c r="F10" s="6" t="n">
        <v>0</v>
      </c>
      <c r="G10" s="6" t="n">
        <v>0</v>
      </c>
      <c r="H10" s="6" t="n">
        <v>0</v>
      </c>
    </row>
    <row r="11" ht="20" customHeight="1">
      <c r="A11" s="8" t="n">
        <v>581242</v>
      </c>
      <c r="B11" s="9" t="inlineStr">
        <is>
          <t>[RD_DEV]EtherCAT ESI String Type 預設值為空值</t>
        </is>
      </c>
      <c r="C11" s="8" t="inlineStr">
        <is>
          <t>Designer Rev1.14.0 Sprint3</t>
        </is>
      </c>
      <c r="D11" s="8" t="inlineStr">
        <is>
          <t>Task</t>
        </is>
      </c>
      <c r="E11" s="8" t="inlineStr">
        <is>
          <t>Completed</t>
        </is>
      </c>
      <c r="F11" s="8" t="n">
        <v>4</v>
      </c>
      <c r="G11" s="8" t="n">
        <v>0</v>
      </c>
      <c r="H11" s="8" t="n">
        <v>-4</v>
      </c>
    </row>
    <row r="12" ht="20" customHeight="1">
      <c r="A12" s="6" t="n">
        <v>577848</v>
      </c>
      <c r="B12" s="7" t="inlineStr">
        <is>
          <t>[RD_DEV]Form InitCmd 建立與預設參數相同的項目時，建立方式錯誤</t>
        </is>
      </c>
      <c r="C12" s="6" t="inlineStr">
        <is>
          <t>Designer Rev1.14.0 Sprint3</t>
        </is>
      </c>
      <c r="D12" s="6" t="inlineStr">
        <is>
          <t>Task</t>
        </is>
      </c>
      <c r="E12" s="6" t="inlineStr">
        <is>
          <t>Completed</t>
        </is>
      </c>
      <c r="F12" s="6" t="n">
        <v>0</v>
      </c>
      <c r="G12" s="6" t="n">
        <v>4</v>
      </c>
      <c r="H12" s="6" t="n">
        <v>4</v>
      </c>
    </row>
    <row r="13" ht="20" customHeight="1">
      <c r="A13" s="8" t="n">
        <v>577179</v>
      </c>
      <c r="B13" s="9" t="inlineStr">
        <is>
          <t>[RD_DEV]Corner 通訊 dll 和 ECAT 解耦</t>
        </is>
      </c>
      <c r="C13" s="8" t="inlineStr">
        <is>
          <t>Designer Rev1.14.0 Sprint2</t>
        </is>
      </c>
      <c r="D13" s="8" t="inlineStr">
        <is>
          <t>Task</t>
        </is>
      </c>
      <c r="E13" s="8" t="inlineStr">
        <is>
          <t>Completed</t>
        </is>
      </c>
      <c r="F13" s="8" t="n">
        <v>0</v>
      </c>
      <c r="G13" s="8" t="n">
        <v>1</v>
      </c>
      <c r="H13" s="8" t="n">
        <v>1</v>
      </c>
    </row>
    <row r="14" ht="20" customHeight="1">
      <c r="A14" s="6" t="n">
        <v>577005</v>
      </c>
      <c r="B14" s="7" t="inlineStr">
        <is>
          <t>[RD_DEV]W3A EtherCAT 拓樸圖從站 Advance Option 禁用 revision 檢查</t>
        </is>
      </c>
      <c r="C14" s="6" t="inlineStr">
        <is>
          <t>Designer Rev1.14.0 Sprint2</t>
        </is>
      </c>
      <c r="D14" s="6" t="inlineStr">
        <is>
          <t>Task</t>
        </is>
      </c>
      <c r="E14" s="6" t="inlineStr">
        <is>
          <t>Completed</t>
        </is>
      </c>
      <c r="F14" s="6" t="n">
        <v>8</v>
      </c>
      <c r="G14" s="6" t="n">
        <v>4</v>
      </c>
      <c r="H14" s="6" t="n">
        <v>-4</v>
      </c>
    </row>
    <row r="15" ht="20" customHeight="1">
      <c r="A15" s="8" t="n">
        <v>577004</v>
      </c>
      <c r="B15" s="9" t="inlineStr">
        <is>
          <t>[RD_DEV]ECAT PDO配置UI優化 (新增PDO, 清單畫面不要跳至第一項/ 新增PDO參數做標示)</t>
        </is>
      </c>
      <c r="C15" s="8" t="inlineStr">
        <is>
          <t>Designer Rev1.14.0 Sprint2</t>
        </is>
      </c>
      <c r="D15" s="8" t="inlineStr">
        <is>
          <t>Task</t>
        </is>
      </c>
      <c r="E15" s="8" t="inlineStr">
        <is>
          <t>Completed</t>
        </is>
      </c>
      <c r="F15" s="8" t="n">
        <v>16</v>
      </c>
      <c r="G15" s="8" t="n">
        <v>14</v>
      </c>
      <c r="H15" s="8" t="n">
        <v>-2</v>
      </c>
    </row>
    <row r="16" ht="20" customHeight="1">
      <c r="A16" s="6" t="n">
        <v>577001</v>
      </c>
      <c r="B16" s="7" t="inlineStr">
        <is>
          <t>[RD_DEV]排除 W3A EtherCAT 停用導致編譯卡住的問題</t>
        </is>
      </c>
      <c r="C16" s="6" t="inlineStr">
        <is>
          <t>Designer Rev1.14.0 Sprint2</t>
        </is>
      </c>
      <c r="D16" s="6" t="inlineStr">
        <is>
          <t>Task</t>
        </is>
      </c>
      <c r="E16" s="6" t="inlineStr">
        <is>
          <t>Completed</t>
        </is>
      </c>
      <c r="F16" s="6" t="n">
        <v>8</v>
      </c>
      <c r="G16" s="6" t="n">
        <v>0</v>
      </c>
      <c r="H16" s="6" t="n">
        <v>-8</v>
      </c>
    </row>
    <row r="17" ht="20" customHeight="1">
      <c r="A17" s="8" t="n">
        <v>576999</v>
      </c>
      <c r="B17" s="9" t="inlineStr">
        <is>
          <t>[RD_DEV]修改 EtherCAT 專案，儲存使用的檔案名稱</t>
        </is>
      </c>
      <c r="C17" s="8" t="inlineStr">
        <is>
          <t>Designer Rev1.14.0 Sprint2</t>
        </is>
      </c>
      <c r="D17" s="8" t="inlineStr">
        <is>
          <t>Task</t>
        </is>
      </c>
      <c r="E17" s="8" t="inlineStr">
        <is>
          <t>Completed</t>
        </is>
      </c>
      <c r="F17" s="8" t="n">
        <v>8</v>
      </c>
      <c r="G17" s="8" t="n">
        <v>0</v>
      </c>
      <c r="H17" s="8" t="n">
        <v>-8</v>
      </c>
    </row>
    <row r="18" ht="20" customHeight="1">
      <c r="A18" s="6" t="n">
        <v>576998</v>
      </c>
      <c r="B18" s="7" t="inlineStr">
        <is>
          <t>[RD_DEV]ECAT從站客製化名稱要同步到軸上</t>
        </is>
      </c>
      <c r="C18" s="6" t="inlineStr">
        <is>
          <t>Designer Rev1.14.0 Sprint2</t>
        </is>
      </c>
      <c r="D18" s="6" t="inlineStr">
        <is>
          <t>Task</t>
        </is>
      </c>
      <c r="E18" s="6" t="inlineStr">
        <is>
          <t>Completed</t>
        </is>
      </c>
      <c r="F18" s="6" t="n">
        <v>8</v>
      </c>
      <c r="G18" s="6" t="n">
        <v>10</v>
      </c>
      <c r="H18" s="6" t="n">
        <v>2</v>
      </c>
    </row>
    <row r="19" ht="20" customHeight="1">
      <c r="A19" s="8" t="n">
        <v>576996</v>
      </c>
      <c r="B19" s="9" t="inlineStr">
        <is>
          <t>[RD_DEV] EtherCAT ToolBar 添加 datagram 使用量</t>
        </is>
      </c>
      <c r="C19" s="8" t="inlineStr">
        <is>
          <t>Designer Rev1.14.0 Sprint2</t>
        </is>
      </c>
      <c r="D19" s="8" t="inlineStr">
        <is>
          <t>Task</t>
        </is>
      </c>
      <c r="E19" s="8" t="inlineStr">
        <is>
          <t>Completed</t>
        </is>
      </c>
      <c r="F19" s="8" t="n">
        <v>16</v>
      </c>
      <c r="G19" s="8" t="n">
        <v>28</v>
      </c>
      <c r="H19" s="8" t="n">
        <v>12</v>
      </c>
    </row>
    <row r="20" ht="20" customHeight="1">
      <c r="A20" s="6" t="n">
        <v>576994</v>
      </c>
      <c r="B20" s="7" t="inlineStr">
        <is>
          <t>[RD_DEV]修改 ECAT 站號排列規則，從1001起</t>
        </is>
      </c>
      <c r="C20" s="6" t="inlineStr">
        <is>
          <t>Designer Rev1.14.0 Sprint2</t>
        </is>
      </c>
      <c r="D20" s="6" t="inlineStr">
        <is>
          <t>Task</t>
        </is>
      </c>
      <c r="E20" s="6" t="inlineStr">
        <is>
          <t>Completed</t>
        </is>
      </c>
      <c r="F20" s="6" t="n">
        <v>8</v>
      </c>
      <c r="G20" s="6" t="n">
        <v>4</v>
      </c>
      <c r="H20" s="6" t="n">
        <v>-4</v>
      </c>
    </row>
    <row r="21" ht="20" customHeight="1">
      <c r="A21" s="8" t="n">
        <v>576993</v>
      </c>
      <c r="B21" s="9" t="inlineStr">
        <is>
          <t>[RD_DEV]W3A ECAT 存檔造成到 Primary Task 間隔時間被改成 2ms</t>
        </is>
      </c>
      <c r="C21" s="8" t="inlineStr">
        <is>
          <t>Designer Rev1.14.0 Sprint2</t>
        </is>
      </c>
      <c r="D21" s="8" t="inlineStr">
        <is>
          <t>Task</t>
        </is>
      </c>
      <c r="E21" s="8" t="inlineStr">
        <is>
          <t>Completed</t>
        </is>
      </c>
      <c r="F21" s="8" t="n">
        <v>4</v>
      </c>
      <c r="G21" s="8" t="n">
        <v>0</v>
      </c>
      <c r="H21" s="8" t="n">
        <v>-4</v>
      </c>
    </row>
    <row r="22" ht="20" customHeight="1">
      <c r="A22" s="6" t="n">
        <v>576491</v>
      </c>
      <c r="B22" s="7" t="inlineStr">
        <is>
          <t>[RD_DEV][W3A] EtherCAT IO 映射表提供 sub channel 資訊給編譯器</t>
        </is>
      </c>
      <c r="C22" s="6" t="inlineStr">
        <is>
          <t>Designer Rev1.14.0 Sprint3</t>
        </is>
      </c>
      <c r="D22" s="6" t="inlineStr">
        <is>
          <t>Task</t>
        </is>
      </c>
      <c r="E22" s="6" t="inlineStr">
        <is>
          <t>Completed</t>
        </is>
      </c>
      <c r="F22" s="6" t="n">
        <v>8</v>
      </c>
      <c r="G22" s="6" t="n">
        <v>4</v>
      </c>
      <c r="H22" s="6" t="n">
        <v>-4</v>
      </c>
    </row>
    <row r="23" ht="20" customHeight="1">
      <c r="A23" s="8" t="n">
        <v>576481</v>
      </c>
      <c r="B23" s="9" t="inlineStr">
        <is>
          <t>[RD_DEV]新增台達裝置從裝置樹批次添加功能</t>
        </is>
      </c>
      <c r="C23" s="8" t="inlineStr">
        <is>
          <t>Designer Rev1.14.0 Sprint2</t>
        </is>
      </c>
      <c r="D23" s="8" t="inlineStr">
        <is>
          <t>Task</t>
        </is>
      </c>
      <c r="E23" s="8" t="inlineStr">
        <is>
          <t>Completed</t>
        </is>
      </c>
      <c r="F23" s="8" t="n">
        <v>12</v>
      </c>
      <c r="G23" s="8" t="n">
        <v>12</v>
      </c>
      <c r="H23" s="8" t="n">
        <v>0</v>
      </c>
    </row>
    <row r="24" ht="20" customHeight="1">
      <c r="A24" s="6" t="n">
        <v>576480</v>
      </c>
      <c r="B24" s="7" t="inlineStr">
        <is>
          <t>[RD_DEV]新增總線裝置批次添加功能</t>
        </is>
      </c>
      <c r="C24" s="6" t="inlineStr">
        <is>
          <t>Designer Rev1.14.0 Sprint2</t>
        </is>
      </c>
      <c r="D24" s="6" t="inlineStr">
        <is>
          <t>Task</t>
        </is>
      </c>
      <c r="E24" s="6" t="inlineStr">
        <is>
          <t>Completed</t>
        </is>
      </c>
      <c r="F24" s="6" t="n">
        <v>12</v>
      </c>
      <c r="G24" s="6" t="n">
        <v>12</v>
      </c>
      <c r="H24" s="6" t="n">
        <v>0</v>
      </c>
    </row>
    <row r="25" ht="20" customHeight="1">
      <c r="A25" s="8" t="n">
        <v>574667</v>
      </c>
      <c r="B25" s="9" t="inlineStr">
        <is>
          <t>[RD_DEV] EtherCAT_Tag_Table 變數名稱異常</t>
        </is>
      </c>
      <c r="C25" s="8" t="inlineStr">
        <is>
          <t>Designer Rev1.14.0 Plan</t>
        </is>
      </c>
      <c r="D25" s="8" t="inlineStr">
        <is>
          <t>Task</t>
        </is>
      </c>
      <c r="E25" s="8" t="inlineStr">
        <is>
          <t>Completed</t>
        </is>
      </c>
      <c r="F25" s="8" t="n">
        <v>8</v>
      </c>
      <c r="G25" s="8" t="n">
        <v>4</v>
      </c>
      <c r="H25" s="8" t="n">
        <v>-4</v>
      </c>
    </row>
    <row r="26" ht="20" customHeight="1">
      <c r="A26" s="6" t="n">
        <v>574070</v>
      </c>
      <c r="B26" s="7" t="inlineStr">
        <is>
          <t>[RD_DEV]排除 B5 EtherCAT 下載遇到問題</t>
        </is>
      </c>
      <c r="C26" s="6" t="inlineStr">
        <is>
          <t>Designer Rev1.14.0 Sprint1</t>
        </is>
      </c>
      <c r="D26" s="6" t="inlineStr">
        <is>
          <t>Task</t>
        </is>
      </c>
      <c r="E26" s="6" t="inlineStr">
        <is>
          <t>Completed</t>
        </is>
      </c>
      <c r="F26" s="6" t="n">
        <v>0</v>
      </c>
      <c r="G26" s="6" t="n">
        <v>2</v>
      </c>
      <c r="H26" s="6" t="n">
        <v>2</v>
      </c>
    </row>
    <row r="27" ht="20" customHeight="1">
      <c r="A27" s="8" t="n">
        <v>569004</v>
      </c>
      <c r="B27" s="9" t="inlineStr">
        <is>
          <t>[RD_DEV] DVPSEC - 設備主體: 上載管理員: EtherCAT節點Checksum與設備上載回的Checksum不一致</t>
        </is>
      </c>
      <c r="C27" s="8" t="inlineStr">
        <is>
          <t>Designer Rev1.14.0 Sprint3</t>
        </is>
      </c>
      <c r="D27" s="8" t="inlineStr">
        <is>
          <t>Task</t>
        </is>
      </c>
      <c r="E27" s="8" t="inlineStr">
        <is>
          <t>Completed</t>
        </is>
      </c>
      <c r="F27" s="8" t="n">
        <v>0</v>
      </c>
      <c r="G27" s="8" t="n">
        <v>0</v>
      </c>
      <c r="H27" s="8" t="n">
        <v>0</v>
      </c>
    </row>
    <row r="28" ht="20" customHeight="1">
      <c r="A28" s="6" t="n">
        <v>564806</v>
      </c>
      <c r="B28" s="7" t="inlineStr">
        <is>
          <t>[RD_DEV]當使用者配置的 EtherCAT 從站項目，有超出 FECAT 或 DVP-ES3(TEC) 限制的 pdo entry數量時，跳出警告</t>
        </is>
      </c>
      <c r="C28" s="6" t="inlineStr">
        <is>
          <t>Designer Rev1.14.0 Plan</t>
        </is>
      </c>
      <c r="D28" s="6" t="inlineStr">
        <is>
          <t>Task</t>
        </is>
      </c>
      <c r="E28" s="6" t="inlineStr">
        <is>
          <t>In Progress</t>
        </is>
      </c>
      <c r="F28" s="6" t="n">
        <v>24</v>
      </c>
      <c r="G28" s="6" t="n">
        <v>12</v>
      </c>
      <c r="H28" s="6" t="n">
        <v>-12</v>
      </c>
    </row>
    <row r="29" ht="20" customHeight="1">
      <c r="A29" s="8" t="n">
        <v>562191</v>
      </c>
      <c r="B29" s="9" t="inlineStr">
        <is>
          <t>[RD_DEV] 若轉換成 AS300 系列，且有配置 EtherCAT 時，需自動配置 AS-FECAT 卡</t>
        </is>
      </c>
      <c r="C29" s="8" t="inlineStr">
        <is>
          <t>Designer Rev1.14.0 Plan</t>
        </is>
      </c>
      <c r="D29" s="8" t="inlineStr">
        <is>
          <t>Task</t>
        </is>
      </c>
      <c r="E29" s="8" t="inlineStr">
        <is>
          <t>Assigned</t>
        </is>
      </c>
      <c r="F29" s="8" t="n">
        <v>4</v>
      </c>
      <c r="G29" s="8" t="n">
        <v>0</v>
      </c>
      <c r="H29" s="8" t="n">
        <v>-4</v>
      </c>
    </row>
    <row r="30" ht="20" customHeight="1">
      <c r="A30" s="6" t="n">
        <v>562188</v>
      </c>
      <c r="B30" s="7" t="inlineStr">
        <is>
          <t>[RD_DEV] DVP-ES3(TEC) 機種轉換成 AS300 時，保留 EtherCAT 配置、EtherCAT IO 映射變數</t>
        </is>
      </c>
      <c r="C30" s="6" t="inlineStr">
        <is>
          <t>Designer Rev1.14.0 Plan</t>
        </is>
      </c>
      <c r="D30" s="6" t="inlineStr">
        <is>
          <t>Task</t>
        </is>
      </c>
      <c r="E30" s="6" t="inlineStr">
        <is>
          <t>Assigned</t>
        </is>
      </c>
      <c r="F30" s="6" t="n">
        <v>4</v>
      </c>
      <c r="G30" s="6" t="n">
        <v>0</v>
      </c>
      <c r="H30" s="6" t="n">
        <v>-4</v>
      </c>
    </row>
    <row r="31" ht="20" customHeight="1">
      <c r="A31" s="8" t="n">
        <v>524598</v>
      </c>
      <c r="B31" s="9" t="inlineStr">
        <is>
          <t>[RD_DEV][W3A] EtherCAT 匯出 ENI（2026Q1）</t>
        </is>
      </c>
      <c r="C31" s="8" t="inlineStr">
        <is>
          <t>Designer Rev1.14.0 Plan</t>
        </is>
      </c>
      <c r="D31" s="8" t="inlineStr">
        <is>
          <t>Task</t>
        </is>
      </c>
      <c r="E31" s="8" t="inlineStr">
        <is>
          <t>Assigned</t>
        </is>
      </c>
      <c r="F31" s="8" t="n">
        <v>8</v>
      </c>
      <c r="G31" s="8" t="n">
        <v>0</v>
      </c>
      <c r="H31" s="8" t="n">
        <v>-8</v>
      </c>
    </row>
    <row r="32" ht="20" customHeight="1">
      <c r="A32" s="6" t="n">
        <v>521971</v>
      </c>
      <c r="B32" s="7" t="inlineStr">
        <is>
          <t>[RD_DEV] DVPSEC - ECAT: 驗證功能</t>
        </is>
      </c>
      <c r="C32" s="6" t="inlineStr">
        <is>
          <t>Designer Rev1.14.0 Sprint3</t>
        </is>
      </c>
      <c r="D32" s="6" t="inlineStr">
        <is>
          <t>Task</t>
        </is>
      </c>
      <c r="E32" s="6" t="inlineStr">
        <is>
          <t>Completed</t>
        </is>
      </c>
      <c r="F32" s="6" t="n">
        <v>0</v>
      </c>
      <c r="G32" s="6" t="n">
        <v>0</v>
      </c>
      <c r="H32" s="6" t="n">
        <v>0</v>
      </c>
    </row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</sheetData>
  <mergeCells count="1">
    <mergeCell ref="A1:H2"/>
  </mergeCells>
  <conditionalFormatting sqref="H8:H32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10" customWidth="1" min="4" max="4"/>
    <col width="18" customWidth="1" min="5" max="5"/>
    <col width="13" customWidth="1" min="6" max="6"/>
    <col width="13" customWidth="1" min="7" max="7"/>
    <col width="10" customWidth="1" min="8" max="8"/>
  </cols>
  <sheetData>
    <row r="1" ht="20" customHeight="1">
      <c r="A1" s="4" t="inlineStr">
        <is>
          <t>XAVIERA.FAN 范珮欣</t>
        </is>
      </c>
    </row>
    <row r="2" ht="20" customHeight="1"/>
    <row r="3" ht="20" customHeight="1"/>
    <row r="4" ht="20" customHeight="1">
      <c r="B4" s="2" t="inlineStr">
        <is>
          <t>Estimate(h)</t>
        </is>
      </c>
      <c r="C4" s="2" t="inlineStr">
        <is>
          <t>TimeSpend(h)</t>
        </is>
      </c>
      <c r="D4" s="2" t="inlineStr">
        <is>
          <t>Utilization</t>
        </is>
      </c>
      <c r="E4" s="2" t="inlineStr">
        <is>
          <t>Tasks</t>
        </is>
      </c>
    </row>
    <row r="5" ht="20" customHeight="1">
      <c r="B5" s="3" t="inlineStr">
        <is>
          <t>179.0h</t>
        </is>
      </c>
      <c r="C5" s="3" t="inlineStr">
        <is>
          <t>64.4h</t>
        </is>
      </c>
      <c r="D5" s="3" t="inlineStr">
        <is>
          <t>36.0%</t>
        </is>
      </c>
      <c r="E5" s="3" t="inlineStr">
        <is>
          <t>28</t>
        </is>
      </c>
    </row>
    <row r="6" ht="20" customHeight="1"/>
    <row r="7" ht="24" customHeight="1">
      <c r="A7" s="5" t="inlineStr">
        <is>
          <t>ID</t>
        </is>
      </c>
      <c r="B7" s="5" t="inlineStr">
        <is>
          <t>Summary</t>
        </is>
      </c>
      <c r="C7" s="5" t="inlineStr">
        <is>
          <t>Planned For</t>
        </is>
      </c>
      <c r="D7" s="5" t="inlineStr">
        <is>
          <t>Type</t>
        </is>
      </c>
      <c r="E7" s="5" t="inlineStr">
        <is>
          <t>State</t>
        </is>
      </c>
      <c r="F7" s="5" t="inlineStr">
        <is>
          <t>Estimate(h)</t>
        </is>
      </c>
      <c r="G7" s="5" t="inlineStr">
        <is>
          <t>TimeSpend(h)</t>
        </is>
      </c>
      <c r="H7" s="5" t="inlineStr">
        <is>
          <t>Diff(h)</t>
        </is>
      </c>
    </row>
    <row r="8" ht="20" customHeight="1">
      <c r="A8" s="6" t="n">
        <v>582613</v>
      </c>
      <c r="B8" s="7" t="inlineStr">
        <is>
          <t xml:space="preserve">[RD_DEV] CANopen: Third Party EDS ( XN270325V1042 )匯入後, PDO Mapping 列表為空
 </t>
        </is>
      </c>
      <c r="C8" s="6" t="inlineStr">
        <is>
          <t>Designer Rev1.14.0 Sprint3</t>
        </is>
      </c>
      <c r="D8" s="6" t="inlineStr">
        <is>
          <t>Task</t>
        </is>
      </c>
      <c r="E8" s="6" t="inlineStr">
        <is>
          <t>Completed</t>
        </is>
      </c>
      <c r="F8" s="6" t="n">
        <v>0</v>
      </c>
      <c r="G8" s="6" t="n">
        <v>1.5</v>
      </c>
      <c r="H8" s="6" t="n">
        <v>1.5</v>
      </c>
    </row>
    <row r="9" ht="20" customHeight="1">
      <c r="A9" s="8" t="n">
        <v>581513</v>
      </c>
      <c r="B9" s="9" t="inlineStr">
        <is>
          <t>[RD_DEV] 匯入 CANopen EDS 時, 從站識別資訊組成CANopen EDS 檔名需考量10進制與16進制轉換</t>
        </is>
      </c>
      <c r="C9" s="8" t="inlineStr">
        <is>
          <t>Designer Rev1.14.0 Sprint3</t>
        </is>
      </c>
      <c r="D9" s="8" t="inlineStr">
        <is>
          <t>Task</t>
        </is>
      </c>
      <c r="E9" s="8" t="inlineStr">
        <is>
          <t>Completed</t>
        </is>
      </c>
      <c r="F9" s="8" t="n">
        <v>0</v>
      </c>
      <c r="G9" s="8" t="n">
        <v>4</v>
      </c>
      <c r="H9" s="8" t="n">
        <v>4</v>
      </c>
    </row>
    <row r="10" ht="20" customHeight="1">
      <c r="A10" s="6" t="n">
        <v>579571</v>
      </c>
      <c r="B10" s="7" t="inlineStr">
        <is>
          <t>[RD_DEV] W3A上載新增設備時, 須初始化 Embedded Device 通訊</t>
        </is>
      </c>
      <c r="C10" s="6" t="inlineStr">
        <is>
          <t>Designer Rev1.14.0 Sprint2</t>
        </is>
      </c>
      <c r="D10" s="6" t="inlineStr">
        <is>
          <t>Task</t>
        </is>
      </c>
      <c r="E10" s="6" t="inlineStr">
        <is>
          <t>Completed</t>
        </is>
      </c>
      <c r="F10" s="6" t="n">
        <v>24</v>
      </c>
      <c r="G10" s="6" t="n">
        <v>10.5</v>
      </c>
      <c r="H10" s="6" t="n">
        <v>-13.5</v>
      </c>
    </row>
    <row r="11" ht="20" customHeight="1">
      <c r="A11" s="8" t="n">
        <v>579524</v>
      </c>
      <c r="B11" s="9" t="inlineStr">
        <is>
          <t>[RD_DEV] Corner 模擬器修改 Type 名稱</t>
        </is>
      </c>
      <c r="C11" s="8" t="inlineStr">
        <is>
          <t>Designer Rev1.14.0 Sprint2</t>
        </is>
      </c>
      <c r="D11" s="8" t="inlineStr">
        <is>
          <t>Task</t>
        </is>
      </c>
      <c r="E11" s="8" t="inlineStr">
        <is>
          <t>Completed</t>
        </is>
      </c>
      <c r="F11" s="8" t="n">
        <v>0</v>
      </c>
      <c r="G11" s="8" t="n">
        <v>2.6</v>
      </c>
      <c r="H11" s="8" t="n">
        <v>2.6</v>
      </c>
    </row>
    <row r="12" ht="20" customHeight="1">
      <c r="A12" s="6" t="n">
        <v>579204</v>
      </c>
      <c r="B12" s="7" t="inlineStr">
        <is>
          <t>[RD_DEV] VFD: online 時, 狀態列顯示錯誤</t>
        </is>
      </c>
      <c r="C12" s="6" t="inlineStr">
        <is>
          <t>Designer Rev1.14.0 Sprint2</t>
        </is>
      </c>
      <c r="D12" s="6" t="inlineStr">
        <is>
          <t>Task</t>
        </is>
      </c>
      <c r="E12" s="6" t="inlineStr">
        <is>
          <t>Completed</t>
        </is>
      </c>
      <c r="F12" s="6" t="n">
        <v>3</v>
      </c>
      <c r="G12" s="6" t="n">
        <v>2.5</v>
      </c>
      <c r="H12" s="6" t="n">
        <v>-0.5</v>
      </c>
    </row>
    <row r="13" ht="20" customHeight="1">
      <c r="A13" s="8" t="n">
        <v>578959</v>
      </c>
      <c r="B13" s="9" t="inlineStr">
        <is>
          <t>[RD_DEV] AS332EC - 通訊:  設備無程式, 上載 Project CompactBin, 沒有上載結束事件</t>
        </is>
      </c>
      <c r="C13" s="8" t="inlineStr">
        <is>
          <t>Designer Rev1.14.0 Sprint2</t>
        </is>
      </c>
      <c r="D13" s="8" t="inlineStr">
        <is>
          <t>Task</t>
        </is>
      </c>
      <c r="E13" s="8" t="inlineStr">
        <is>
          <t>Completed</t>
        </is>
      </c>
      <c r="F13" s="8" t="n">
        <v>0</v>
      </c>
      <c r="G13" s="8" t="n">
        <v>0.5</v>
      </c>
      <c r="H13" s="8" t="n">
        <v>0.5</v>
      </c>
    </row>
    <row r="14" ht="20" customHeight="1">
      <c r="A14" s="6" t="n">
        <v>578955</v>
      </c>
      <c r="B14" s="7" t="inlineStr">
        <is>
          <t>[RD_DEV] AS332EC - 通訊:  特定韌體版本, 下載AppCompactBin 失敗</t>
        </is>
      </c>
      <c r="C14" s="6" t="inlineStr">
        <is>
          <t>Designer Rev1.14.0 Sprint2</t>
        </is>
      </c>
      <c r="D14" s="6" t="inlineStr">
        <is>
          <t>Task</t>
        </is>
      </c>
      <c r="E14" s="6" t="inlineStr">
        <is>
          <t>Completed</t>
        </is>
      </c>
      <c r="F14" s="6" t="n">
        <v>0</v>
      </c>
      <c r="G14" s="6" t="n">
        <v>1.5</v>
      </c>
      <c r="H14" s="6" t="n">
        <v>1.5</v>
      </c>
    </row>
    <row r="15" ht="20" customHeight="1">
      <c r="A15" s="8" t="n">
        <v>576561</v>
      </c>
      <c r="B15" s="9" t="inlineStr">
        <is>
          <t>[RD_DEV] CANopen 上載還原,  誤覆蓋 NW 中的 CANopen 主站</t>
        </is>
      </c>
      <c r="C15" s="8" t="inlineStr">
        <is>
          <t>Designer Rev1.14.0 Sprint1</t>
        </is>
      </c>
      <c r="D15" s="8" t="inlineStr">
        <is>
          <t>Task</t>
        </is>
      </c>
      <c r="E15" s="8" t="inlineStr">
        <is>
          <t>Completed</t>
        </is>
      </c>
      <c r="F15" s="8" t="n">
        <v>0</v>
      </c>
      <c r="G15" s="8" t="n">
        <v>1</v>
      </c>
      <c r="H15" s="8" t="n">
        <v>1</v>
      </c>
    </row>
    <row r="16" ht="20" customHeight="1">
      <c r="A16" s="6" t="n">
        <v>575221</v>
      </c>
      <c r="B16" s="7" t="inlineStr">
        <is>
          <t>[RD_DEV] DVPSEC - 通訊: 上載 App Compact Bin, 固化方案版號, Program Checksum</t>
        </is>
      </c>
      <c r="C16" s="6" t="inlineStr">
        <is>
          <t>Designer Rev1.14.0 Sprint3</t>
        </is>
      </c>
      <c r="D16" s="6" t="inlineStr">
        <is>
          <t>Task</t>
        </is>
      </c>
      <c r="E16" s="6" t="inlineStr">
        <is>
          <t>Completed</t>
        </is>
      </c>
      <c r="F16" s="6" t="n">
        <v>4</v>
      </c>
      <c r="G16" s="6" t="n">
        <v>1</v>
      </c>
      <c r="H16" s="6" t="n">
        <v>-3</v>
      </c>
    </row>
    <row r="17" ht="20" customHeight="1">
      <c r="A17" s="8" t="n">
        <v>575219</v>
      </c>
      <c r="B17" s="9" t="inlineStr">
        <is>
          <t>[RD_DEV] DVPSEC - 通訊: 下載 Program Checksum 與 固化方案版號</t>
        </is>
      </c>
      <c r="C17" s="8" t="inlineStr">
        <is>
          <t>Designer Rev1.14.0 Sprint2</t>
        </is>
      </c>
      <c r="D17" s="8" t="inlineStr">
        <is>
          <t>Task</t>
        </is>
      </c>
      <c r="E17" s="8" t="inlineStr">
        <is>
          <t>Completed</t>
        </is>
      </c>
      <c r="F17" s="8" t="n">
        <v>4</v>
      </c>
      <c r="G17" s="8" t="n">
        <v>0.5</v>
      </c>
      <c r="H17" s="8" t="n">
        <v>-3.5</v>
      </c>
    </row>
    <row r="18" ht="20" customHeight="1">
      <c r="A18" s="6" t="n">
        <v>575110</v>
      </c>
      <c r="B18" s="7" t="inlineStr">
        <is>
          <t>[RD_DEV] CANopen 掃描通訊: 提供 Unknown Device 的識別資訊</t>
        </is>
      </c>
      <c r="C18" s="6" t="inlineStr">
        <is>
          <t>Designer Rev1.14.0 Sprint3</t>
        </is>
      </c>
      <c r="D18" s="6" t="inlineStr">
        <is>
          <t>Task</t>
        </is>
      </c>
      <c r="E18" s="6" t="inlineStr">
        <is>
          <t>Completed</t>
        </is>
      </c>
      <c r="F18" s="6" t="n">
        <v>8</v>
      </c>
      <c r="G18" s="6" t="n">
        <v>3</v>
      </c>
      <c r="H18" s="6" t="n">
        <v>-5</v>
      </c>
    </row>
    <row r="19" ht="20" customHeight="1">
      <c r="A19" s="8" t="n">
        <v>574832</v>
      </c>
      <c r="B19" s="9" t="inlineStr">
        <is>
          <t>[RD_DEV] MA500_通訊設定</t>
        </is>
      </c>
      <c r="C19" s="8" t="inlineStr">
        <is>
          <t>Designer Rev1.14.0 Sprint3</t>
        </is>
      </c>
      <c r="D19" s="8" t="inlineStr">
        <is>
          <t>Task</t>
        </is>
      </c>
      <c r="E19" s="8" t="inlineStr">
        <is>
          <t>Completed</t>
        </is>
      </c>
      <c r="F19" s="8" t="n">
        <v>4</v>
      </c>
      <c r="G19" s="8" t="n">
        <v>0.5</v>
      </c>
      <c r="H19" s="8" t="n">
        <v>-3.5</v>
      </c>
    </row>
    <row r="20" ht="20" customHeight="1">
      <c r="A20" s="6" t="n">
        <v>574831</v>
      </c>
      <c r="B20" s="7" t="inlineStr">
        <is>
          <t>[RD_DEV] MA500_變頻精靈</t>
        </is>
      </c>
      <c r="C20" s="6" t="inlineStr">
        <is>
          <t>Designer Rev1.14.0 Sprint3</t>
        </is>
      </c>
      <c r="D20" s="6" t="inlineStr">
        <is>
          <t>Task</t>
        </is>
      </c>
      <c r="E20" s="6" t="inlineStr">
        <is>
          <t>Completed</t>
        </is>
      </c>
      <c r="F20" s="6" t="n">
        <v>4</v>
      </c>
      <c r="G20" s="6" t="n">
        <v>0.5</v>
      </c>
      <c r="H20" s="6" t="n">
        <v>-3.5</v>
      </c>
    </row>
    <row r="21" ht="20" customHeight="1">
      <c r="A21" s="8" t="n">
        <v>574816</v>
      </c>
      <c r="B21" s="9" t="inlineStr">
        <is>
          <t>[RD_DEV] APF3000_通訊設定</t>
        </is>
      </c>
      <c r="C21" s="8" t="inlineStr">
        <is>
          <t>Designer Rev1.14.0 Sprint3</t>
        </is>
      </c>
      <c r="D21" s="8" t="inlineStr">
        <is>
          <t>Task</t>
        </is>
      </c>
      <c r="E21" s="8" t="inlineStr">
        <is>
          <t>Assigned</t>
        </is>
      </c>
      <c r="F21" s="8" t="n">
        <v>4</v>
      </c>
      <c r="G21" s="8" t="n">
        <v>0</v>
      </c>
      <c r="H21" s="8" t="n">
        <v>-4</v>
      </c>
    </row>
    <row r="22" ht="20" customHeight="1">
      <c r="A22" s="6" t="n">
        <v>574815</v>
      </c>
      <c r="B22" s="7" t="inlineStr">
        <is>
          <t>[RD_DEV] APF3000_變頻精靈</t>
        </is>
      </c>
      <c r="C22" s="6" t="inlineStr">
        <is>
          <t>Designer Rev1.14.0 Sprint3</t>
        </is>
      </c>
      <c r="D22" s="6" t="inlineStr">
        <is>
          <t>Task</t>
        </is>
      </c>
      <c r="E22" s="6" t="inlineStr">
        <is>
          <t>Assigned</t>
        </is>
      </c>
      <c r="F22" s="6" t="n">
        <v>4</v>
      </c>
      <c r="G22" s="6" t="n">
        <v>0</v>
      </c>
      <c r="H22" s="6" t="n">
        <v>-4</v>
      </c>
    </row>
    <row r="23" ht="20" customHeight="1">
      <c r="A23" s="8" t="n">
        <v>574659</v>
      </c>
      <c r="B23" s="9" t="inlineStr">
        <is>
          <t>[RD_DEV] AS332EC - 通訊: 取得 Program Checksum 與 固化方案版號</t>
        </is>
      </c>
      <c r="C23" s="8" t="inlineStr">
        <is>
          <t>Designer Rev1.14.0 Sprint2</t>
        </is>
      </c>
      <c r="D23" s="8" t="inlineStr">
        <is>
          <t>Task</t>
        </is>
      </c>
      <c r="E23" s="8" t="inlineStr">
        <is>
          <t>Completed</t>
        </is>
      </c>
      <c r="F23" s="8" t="n">
        <v>8</v>
      </c>
      <c r="G23" s="8" t="n">
        <v>1.6</v>
      </c>
      <c r="H23" s="8" t="n">
        <v>-6.4</v>
      </c>
    </row>
    <row r="24" ht="20" customHeight="1">
      <c r="A24" s="6" t="n">
        <v>574652</v>
      </c>
      <c r="B24" s="7" t="inlineStr">
        <is>
          <t>[RD_DEV] AS332EC - 通訊: 下載 固化方案版號 與  Program Checksum</t>
        </is>
      </c>
      <c r="C24" s="6" t="inlineStr">
        <is>
          <t>Designer Rev1.14.0 Sprint2</t>
        </is>
      </c>
      <c r="D24" s="6" t="inlineStr">
        <is>
          <t>Task</t>
        </is>
      </c>
      <c r="E24" s="6" t="inlineStr">
        <is>
          <t>Completed</t>
        </is>
      </c>
      <c r="F24" s="6" t="n">
        <v>12</v>
      </c>
      <c r="G24" s="6" t="n">
        <v>6.1</v>
      </c>
      <c r="H24" s="6" t="n">
        <v>-5.9</v>
      </c>
    </row>
    <row r="25" ht="20" customHeight="1">
      <c r="A25" s="8" t="n">
        <v>574651</v>
      </c>
      <c r="B25" s="9" t="inlineStr">
        <is>
          <t>[RD_DEV] AS332EC - 通訊: 上載 App Compact Bin</t>
        </is>
      </c>
      <c r="C25" s="8" t="inlineStr">
        <is>
          <t>Designer Rev1.14.0 Sprint2</t>
        </is>
      </c>
      <c r="D25" s="8" t="inlineStr">
        <is>
          <t>Task</t>
        </is>
      </c>
      <c r="E25" s="8" t="inlineStr">
        <is>
          <t>Completed</t>
        </is>
      </c>
      <c r="F25" s="8" t="n">
        <v>24</v>
      </c>
      <c r="G25" s="8" t="n">
        <v>5.1</v>
      </c>
      <c r="H25" s="8" t="n">
        <v>-18.9</v>
      </c>
    </row>
    <row r="26" ht="20" customHeight="1">
      <c r="A26" s="6" t="n">
        <v>574005</v>
      </c>
      <c r="B26" s="7" t="inlineStr">
        <is>
          <t xml:space="preserve">[RD_DEV] 通訊設定: 驗證 W3A 預設站號為 200
 </t>
        </is>
      </c>
      <c r="C26" s="6" t="inlineStr">
        <is>
          <t>Designer Rev1.14.0 Sprint3</t>
        </is>
      </c>
      <c r="D26" s="6" t="inlineStr">
        <is>
          <t>Task</t>
        </is>
      </c>
      <c r="E26" s="6" t="inlineStr">
        <is>
          <t>Completed</t>
        </is>
      </c>
      <c r="F26" s="6" t="n">
        <v>1</v>
      </c>
      <c r="G26" s="6" t="n">
        <v>0.5</v>
      </c>
      <c r="H26" s="6" t="n">
        <v>-0.5</v>
      </c>
    </row>
    <row r="27" ht="20" customHeight="1">
      <c r="A27" s="8" t="n">
        <v>574003</v>
      </c>
      <c r="B27" s="9" t="inlineStr">
        <is>
          <t xml:space="preserve">[RD_DEV] 通訊設定: 預設站號從 DDF 取得
 </t>
        </is>
      </c>
      <c r="C27" s="8" t="inlineStr">
        <is>
          <t>Designer Rev1.14.0 Sprint3</t>
        </is>
      </c>
      <c r="D27" s="8" t="inlineStr">
        <is>
          <t>Task</t>
        </is>
      </c>
      <c r="E27" s="8" t="inlineStr">
        <is>
          <t>Completed</t>
        </is>
      </c>
      <c r="F27" s="8" t="n">
        <v>24</v>
      </c>
      <c r="G27" s="8" t="n">
        <v>8</v>
      </c>
      <c r="H27" s="8" t="n">
        <v>-16</v>
      </c>
    </row>
    <row r="28" ht="20" customHeight="1">
      <c r="A28" s="6" t="n">
        <v>573065</v>
      </c>
      <c r="B28" s="7" t="inlineStr">
        <is>
          <t>[RD_DEV] 架構圖更新 (Communication part) - DIADesigner v1.14.0</t>
        </is>
      </c>
      <c r="C28" s="6" t="inlineStr">
        <is>
          <t>Rev1.14.0 DIADesigner</t>
        </is>
      </c>
      <c r="D28" s="6" t="inlineStr">
        <is>
          <t>Task</t>
        </is>
      </c>
      <c r="E28" s="6" t="inlineStr">
        <is>
          <t>Assigned</t>
        </is>
      </c>
      <c r="F28" s="6" t="n">
        <v>0</v>
      </c>
      <c r="G28" s="6" t="n">
        <v>0</v>
      </c>
      <c r="H28" s="6" t="n">
        <v>0</v>
      </c>
    </row>
    <row r="29" ht="20" customHeight="1">
      <c r="A29" s="8" t="n">
        <v>568350</v>
      </c>
      <c r="B29" s="9" t="inlineStr">
        <is>
          <t>[RD_DEV] AS332EC - Survey: 上載後可直接Online 不須新編譯, 通訊需求討論</t>
        </is>
      </c>
      <c r="C29" s="8" t="inlineStr">
        <is>
          <t>Designer Rev1.14.0 Sprint1</t>
        </is>
      </c>
      <c r="D29" s="8" t="inlineStr">
        <is>
          <t>Task</t>
        </is>
      </c>
      <c r="E29" s="8" t="inlineStr">
        <is>
          <t>Completed</t>
        </is>
      </c>
      <c r="F29" s="8" t="n">
        <v>0</v>
      </c>
      <c r="G29" s="8" t="n">
        <v>5</v>
      </c>
      <c r="H29" s="8" t="n">
        <v>5</v>
      </c>
    </row>
    <row r="30" ht="20" customHeight="1">
      <c r="A30" s="6" t="n">
        <v>525572</v>
      </c>
      <c r="B30" s="7" t="inlineStr">
        <is>
          <t>[RD_DEV] AS332EC - 設備主體: Compact bin 改善File Size</t>
        </is>
      </c>
      <c r="C30" s="6" t="inlineStr">
        <is>
          <t>Designer Rev1.14.0 Sprint3</t>
        </is>
      </c>
      <c r="D30" s="6" t="inlineStr">
        <is>
          <t>Task</t>
        </is>
      </c>
      <c r="E30" s="6" t="inlineStr">
        <is>
          <t>Assigned</t>
        </is>
      </c>
      <c r="F30" s="6" t="n">
        <v>8</v>
      </c>
      <c r="G30" s="6" t="n">
        <v>0</v>
      </c>
      <c r="H30" s="6" t="n">
        <v>-8</v>
      </c>
    </row>
    <row r="31" ht="20" customHeight="1">
      <c r="A31" s="8" t="n">
        <v>521989</v>
      </c>
      <c r="B31" s="9" t="inlineStr">
        <is>
          <t>[RD_DEV] DVPSEC - Embedded Corner下載管理員: Post Download</t>
        </is>
      </c>
      <c r="C31" s="8" t="inlineStr">
        <is>
          <t>Designer Rev1.14.0 Sprint3</t>
        </is>
      </c>
      <c r="D31" s="8" t="inlineStr">
        <is>
          <t>Task</t>
        </is>
      </c>
      <c r="E31" s="8" t="inlineStr">
        <is>
          <t>Resolved</t>
        </is>
      </c>
      <c r="F31" s="8" t="n">
        <v>8</v>
      </c>
      <c r="G31" s="8" t="n">
        <v>6.5</v>
      </c>
      <c r="H31" s="8" t="n">
        <v>-1.5</v>
      </c>
    </row>
    <row r="32" ht="20" customHeight="1">
      <c r="A32" s="6" t="n">
        <v>521977</v>
      </c>
      <c r="B32" s="7" t="inlineStr">
        <is>
          <t>[RD_DEV] DVPSEC - 設備能力透過外部檔案取得</t>
        </is>
      </c>
      <c r="C32" s="6" t="inlineStr">
        <is>
          <t>Designer Rev1.14.0 Sprint2</t>
        </is>
      </c>
      <c r="D32" s="6" t="inlineStr">
        <is>
          <t>Task</t>
        </is>
      </c>
      <c r="E32" s="6" t="inlineStr">
        <is>
          <t>Assigned</t>
        </is>
      </c>
      <c r="F32" s="6" t="n">
        <v>4</v>
      </c>
      <c r="G32" s="6" t="n">
        <v>0</v>
      </c>
      <c r="H32" s="6" t="n">
        <v>-4</v>
      </c>
    </row>
    <row r="33" ht="20" customHeight="1">
      <c r="A33" s="8" t="n">
        <v>521973</v>
      </c>
      <c r="B33" s="9" t="inlineStr">
        <is>
          <t>[RD_DEV] DVPSEC - 通訊 連線至模擬器</t>
        </is>
      </c>
      <c r="C33" s="8" t="inlineStr">
        <is>
          <t>Designer Rev1.14.0 Sprint3</t>
        </is>
      </c>
      <c r="D33" s="8" t="inlineStr">
        <is>
          <t>Task</t>
        </is>
      </c>
      <c r="E33" s="8" t="inlineStr">
        <is>
          <t>Assigned</t>
        </is>
      </c>
      <c r="F33" s="8" t="n">
        <v>3</v>
      </c>
      <c r="G33" s="8" t="n">
        <v>0</v>
      </c>
      <c r="H33" s="8" t="n">
        <v>-3</v>
      </c>
    </row>
    <row r="34" ht="20" customHeight="1">
      <c r="A34" s="6" t="n">
        <v>507452</v>
      </c>
      <c r="B34" s="7" t="inlineStr">
        <is>
          <t>[RD_DEV] AS332EC - 通訊: 連線至模擬器</t>
        </is>
      </c>
      <c r="C34" s="6" t="inlineStr">
        <is>
          <t>Designer Rev1.14.0 Sprint3</t>
        </is>
      </c>
      <c r="D34" s="6" t="inlineStr">
        <is>
          <t>Task</t>
        </is>
      </c>
      <c r="E34" s="6" t="inlineStr">
        <is>
          <t>Assigned</t>
        </is>
      </c>
      <c r="F34" s="6" t="n">
        <v>4</v>
      </c>
      <c r="G34" s="6" t="n">
        <v>2</v>
      </c>
      <c r="H34" s="6" t="n">
        <v>-2</v>
      </c>
    </row>
    <row r="35" ht="20" customHeight="1">
      <c r="A35" s="8" t="n">
        <v>505507</v>
      </c>
      <c r="B35" s="9" t="inlineStr">
        <is>
          <t>[RD_DEV] AS332EC - 設備能力透過外部檔案取得</t>
        </is>
      </c>
      <c r="C35" s="8" t="inlineStr">
        <is>
          <t>Designer Rev1.14.0 Sprint3</t>
        </is>
      </c>
      <c r="D35" s="8" t="inlineStr">
        <is>
          <t>Task</t>
        </is>
      </c>
      <c r="E35" s="8" t="inlineStr">
        <is>
          <t>Assigned</t>
        </is>
      </c>
      <c r="F35" s="8" t="n">
        <v>24</v>
      </c>
      <c r="G35" s="8" t="n">
        <v>0</v>
      </c>
      <c r="H35" s="8" t="n">
        <v>-24</v>
      </c>
    </row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</sheetData>
  <mergeCells count="1">
    <mergeCell ref="A1:H2"/>
  </mergeCells>
  <conditionalFormatting sqref="H8:H35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2026-06-01T11:00:32Z</dcterms:created>
  <dcterms:modified xmlns:dcterms="http://purl.org/dc/terms/" xmlns:xsi="http://www.w3.org/2001/XMLSchema-instance" xsi:type="dcterms:W3CDTF">2026-06-01T11:00:32Z</dcterms:modified>
</cp:coreProperties>
</file>